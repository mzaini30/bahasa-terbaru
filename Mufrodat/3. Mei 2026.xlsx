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SATIDZ\Zen\bahasa-terbaru\Mufrodat\"/>
    </mc:Choice>
  </mc:AlternateContent>
  <xr:revisionPtr revIDLastSave="0" documentId="13_ncr:1_{FE258B89-C923-4B22-AE2F-C0B8FD348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frodat" sheetId="1" r:id="rId1"/>
    <sheet name="Mufrodat Putra" sheetId="5" r:id="rId2"/>
    <sheet name="Mufrodat Putri" sheetId="8" r:id="rId3"/>
    <sheet name="Nama Putra" sheetId="2" r:id="rId4"/>
    <sheet name="Nama Putri" sheetId="4" r:id="rId5"/>
  </sheets>
  <definedNames>
    <definedName name="_xlnm.Print_Area" localSheetId="0">Mufrodat!$A$1:$C$48</definedName>
    <definedName name="_xlnm.Print_Area" localSheetId="1">'Mufrodat Putra'!$A$1:$D$48</definedName>
    <definedName name="_xlnm.Print_Area" localSheetId="2">'Mufrodat Putri'!$A$1:$D$48</definedName>
    <definedName name="_xlnm.Print_Area" localSheetId="3">'Nama Putra'!$A$1:$B$33</definedName>
    <definedName name="_xlnm.Print_Area" localSheetId="4">'Nama Putri'!$A$1:$B$21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8" l="1"/>
  <c r="A1" i="5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D5" i="8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B5" i="8"/>
  <c r="B4" i="8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4" i="5"/>
  <c r="B4" i="5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E32" i="1"/>
  <c r="E33" i="1" s="1"/>
  <c r="E34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5" i="1"/>
  <c r="A3" i="4" l="1"/>
  <c r="A4" i="4" s="1"/>
  <c r="A5" i="4" s="1"/>
  <c r="A6" i="4" s="1"/>
  <c r="A7" i="4" s="1"/>
  <c r="A8" i="4" s="1"/>
  <c r="A9" i="4" s="1"/>
  <c r="A10" i="4" s="1"/>
  <c r="A3" i="2"/>
  <c r="A4" i="2" s="1"/>
  <c r="A5" i="2" s="1"/>
  <c r="A6" i="2" s="1"/>
  <c r="A7" i="2" s="1"/>
  <c r="A8" i="2" s="1"/>
  <c r="A9" i="2" s="1"/>
  <c r="A10" i="2" s="1"/>
</calcChain>
</file>

<file path=xl/sharedStrings.xml><?xml version="1.0" encoding="utf-8"?>
<sst xmlns="http://schemas.openxmlformats.org/spreadsheetml/2006/main" count="205" uniqueCount="180">
  <si>
    <t>Nomor</t>
  </si>
  <si>
    <t>Bahasa Indonesia</t>
  </si>
  <si>
    <t>Ahmad Abdullah Kholis</t>
  </si>
  <si>
    <t>Aiko Zahwa syarofana</t>
  </si>
  <si>
    <t>Aisyah muwahhidah</t>
  </si>
  <si>
    <t>Aisyah Putri Az Zahra</t>
  </si>
  <si>
    <t>Amila nahwal Haq</t>
  </si>
  <si>
    <t>Audrey callysta Fatih</t>
  </si>
  <si>
    <t>Hanif Syaifullah</t>
  </si>
  <si>
    <t>Ifroyim Habibullah Fatah</t>
  </si>
  <si>
    <t>Kamil Khairul Azam</t>
  </si>
  <si>
    <t>Khanza nur Assyifa</t>
  </si>
  <si>
    <t>Mirza Faeyza Raziq Ramadhan</t>
  </si>
  <si>
    <t>Muhammad Daffa Abdul Rafi</t>
  </si>
  <si>
    <t>Muhammad Nizam Ghifari</t>
  </si>
  <si>
    <t>Nadil Al Fayyadh</t>
  </si>
  <si>
    <t>Syifa Salsabila</t>
  </si>
  <si>
    <t>Wildan Akhram Pratama</t>
  </si>
  <si>
    <t>Wildan Habibi Ariyadi</t>
  </si>
  <si>
    <t>Zidane Al Asytar Syakur</t>
  </si>
  <si>
    <t>Zufar Lahid Royyan Ashidik</t>
  </si>
  <si>
    <t>Ibrahim Kholil Muttaqin</t>
  </si>
  <si>
    <t>Abdullah Umar Al-Hummam</t>
  </si>
  <si>
    <t>Afkar Mukayyis Al Wahidi</t>
  </si>
  <si>
    <t>Ammar Azzamul Haq</t>
  </si>
  <si>
    <t>Dhafia Ramadhiani Azzahra</t>
  </si>
  <si>
    <t>Fatih Alfaizi Aufa Ramadhan</t>
  </si>
  <si>
    <t>Halwa Haura Jannaty</t>
  </si>
  <si>
    <t>Khalid Fayyadh Al Muzzammil</t>
  </si>
  <si>
    <t>Khoirunnisa Ahlam</t>
  </si>
  <si>
    <t>Muhammad Alvin Abdurrahman</t>
  </si>
  <si>
    <t>Muhammad Rizki</t>
  </si>
  <si>
    <t>Muhammad Rizky Suhaili</t>
  </si>
  <si>
    <t>Muhammad Sano Darussalam Ro</t>
  </si>
  <si>
    <t>Muhammad Yusuf Kamil Fahlevi</t>
  </si>
  <si>
    <t>Niswah Adzkiyah</t>
  </si>
  <si>
    <t>Sabila Farrah</t>
  </si>
  <si>
    <t>Thoriq Mubarok Muttaqin</t>
  </si>
  <si>
    <t>Abdullah Ammar Al Maududi</t>
  </si>
  <si>
    <t>Abdurrahman Aliefdhafie Zain</t>
  </si>
  <si>
    <t>Aina Talita Zahron</t>
  </si>
  <si>
    <t>Aisyah Nurul Hafizah</t>
  </si>
  <si>
    <t>Ammar Yafi 'Alaudin Ash Shiddiq</t>
  </si>
  <si>
    <t>Annisa Qurrotu'aini Al Adawiyah</t>
  </si>
  <si>
    <t>Bilqis</t>
  </si>
  <si>
    <t>Erina Liyana Zahra</t>
  </si>
  <si>
    <t>Ghaisan Alfarezal Tsany</t>
  </si>
  <si>
    <t>Kemal Abudzar Al Ghifari</t>
  </si>
  <si>
    <t>Muhammad Karim Amrullah</t>
  </si>
  <si>
    <t>Muhammad Rizky Ramadhan</t>
  </si>
  <si>
    <t>Nur Humaira Safitri</t>
  </si>
  <si>
    <t>Siti Sofia Azzalea</t>
  </si>
  <si>
    <t>Zhafira Aqeela Zahra</t>
  </si>
  <si>
    <t>Nama</t>
  </si>
  <si>
    <t>Bahasa Arab Putra</t>
  </si>
  <si>
    <t>Bahasa Arab Putri</t>
  </si>
  <si>
    <t>Umar Abdurrosyid Assary</t>
  </si>
  <si>
    <t>Pagi</t>
  </si>
  <si>
    <t>Mufrodat Mei - Juni 2026</t>
  </si>
  <si>
    <t>Mulutnya dijaga, jangan asbun</t>
  </si>
  <si>
    <t>Kalau makan mie, izin</t>
  </si>
  <si>
    <t>Berbagi kipasnya</t>
  </si>
  <si>
    <t>Keranjangku terbang</t>
  </si>
  <si>
    <t>Makannya Mie Eko</t>
  </si>
  <si>
    <t>Pinjam kepala cas-an nah</t>
  </si>
  <si>
    <t>Ayo nah kapan wisuda</t>
  </si>
  <si>
    <t>Hangernya terbang</t>
  </si>
  <si>
    <t>Sajadah siapa ini di lantai</t>
  </si>
  <si>
    <t>Baju siapa itu ngapung</t>
  </si>
  <si>
    <t>Maksa setoran nih</t>
  </si>
  <si>
    <t>Mukenah (putra: songkok) kita sama</t>
  </si>
  <si>
    <t>Kurang banyak</t>
  </si>
  <si>
    <t>Kok aku nggak diajak</t>
  </si>
  <si>
    <t>Putar pang itu kipasnya</t>
  </si>
  <si>
    <t>Siapa yang hari ini ngelanggar</t>
  </si>
  <si>
    <t>Haruskah diingatin dulu</t>
  </si>
  <si>
    <t>Gayungnya kepleset weh</t>
  </si>
  <si>
    <t>Lemarinya manis</t>
  </si>
  <si>
    <t>Tolong ambilkan gayungku nah</t>
  </si>
  <si>
    <t>Kasurmu mana</t>
  </si>
  <si>
    <t>Pintu dapur lepas</t>
  </si>
  <si>
    <t>Tutup jendelanya, mau Maghrib</t>
  </si>
  <si>
    <t>Di wastafel ada kecoa</t>
  </si>
  <si>
    <t>Pakai sudah mukenahnya (putra: songkok)</t>
  </si>
  <si>
    <t>Woi, miring kiblatnya</t>
  </si>
  <si>
    <t>Jangan berenang di wastafel</t>
  </si>
  <si>
    <t>Eh, tolong kasur nah</t>
  </si>
  <si>
    <t>Coba lihat kalender</t>
  </si>
  <si>
    <t>Kalau malam, jangan lupa kunci jendelanya</t>
  </si>
  <si>
    <t>Kipasnya dicolok</t>
  </si>
  <si>
    <t>Siapa hari ini piket rapiin alat tidur</t>
  </si>
  <si>
    <t>Siapa yang belum cuci botol</t>
  </si>
  <si>
    <t>Jangan lupa disogok airnya ke lubang</t>
  </si>
  <si>
    <t>Aku nggak kena kipas weh</t>
  </si>
  <si>
    <t>Ambili barang sitaanmu</t>
  </si>
  <si>
    <t>Si paling yang mulia</t>
  </si>
  <si>
    <t>Jangan lupa tahajjud</t>
  </si>
  <si>
    <t>Kipas portable-mu ribut banget</t>
  </si>
  <si>
    <t>Kita belajar apa hari ini</t>
  </si>
  <si>
    <t>Di mana Al-Quran buat Ustadz ngajar</t>
  </si>
  <si>
    <t>Ambilkan dulu lepek</t>
  </si>
  <si>
    <t>Awas gelasnya pecah</t>
  </si>
  <si>
    <t>Gulingmu dilempar</t>
  </si>
  <si>
    <t>Pintu kamar mandi lepas</t>
  </si>
  <si>
    <t>هَلْ لَبِسْتَ ٱلْقَلَنْسُوَةَ؟</t>
  </si>
  <si>
    <t>هَلْ لَبِسْتِ ٱلْخِمَارَ؟</t>
  </si>
  <si>
    <t>ٱنْزَلَقَتِ ٱلْمِغْرَفَةُ</t>
  </si>
  <si>
    <t>أَدِرِ ٱلْمِرْوَحَةَ</t>
  </si>
  <si>
    <t>أَدِيرِي ٱلْمِرْوَحَةَ</t>
  </si>
  <si>
    <t>قَلِيلٌ جِدًّا</t>
  </si>
  <si>
    <t>يُجْبَرُ عَلَى ٱلتَّسْمِيعِ</t>
  </si>
  <si>
    <t>طَارَتِ ٱلْعَلَّاقَةُ</t>
  </si>
  <si>
    <t>أَعِرْنِي رَأْسَ ٱلشَّاحِنِ</t>
  </si>
  <si>
    <t>أَعِيرِينِي رَأْسَ ٱلشَّاحِنِ</t>
  </si>
  <si>
    <t>يَا هَذَا، ٱلْقِبْلَةُ مَائِلَةٌ</t>
  </si>
  <si>
    <t>يَا هَذِهِ، ٱلْقِبْلَةُ مَائِلَةٌ</t>
  </si>
  <si>
    <t>ٱحْفَظْ فَمَكَ، لَا تَتَكَلَّمْ بِغَيْرِ عِلْمٍ</t>
  </si>
  <si>
    <t>ٱحْفَظِي فَمَكِ، لَا تَتَكَلَّمِي بِغَيْرِ عِلْمٍ</t>
  </si>
  <si>
    <t>لَا تَسْبَحْ فِي ٱلْمِغْسَلَةِ</t>
  </si>
  <si>
    <t>لَا تَسْبَحِي فِي ٱلْمِغْسَلَةِ</t>
  </si>
  <si>
    <t>خُذِ ٱلْفِرَاشَ لَوْ سَمَحْتَ</t>
  </si>
  <si>
    <t>خُذِي ٱلْفِرَاشَ لَوْ سَمَحْتِ</t>
  </si>
  <si>
    <t>ٱنْظُرْ إِلَى ٱلتَّقْوِيمِ</t>
  </si>
  <si>
    <t>ٱنْظُرِي إِلَى ٱلتَّقْوِيمِ</t>
  </si>
  <si>
    <t>إِذَا جَاءَ ٱللَّيْلُ فَلَا تَنْسَ إِغْلَاقَ ٱلنَّافِذَةِ</t>
  </si>
  <si>
    <t>إِذَا جَاءَ ٱللَّيْلُ فَلَا تَنْسَيْ إِغْلَاقَ ٱلنَّافِذَةِ</t>
  </si>
  <si>
    <t>تَمَّ تَوْصِيلُ ٱلْمِرْوَحَةِ</t>
  </si>
  <si>
    <t>مَنْ ٱلْمَسْؤُولُ ٱلْيَوْمَ عَنْ تَرْتِيبِ ٱلْفُرُشِ</t>
  </si>
  <si>
    <t>مَنْ ٱلْمَسْؤُولَةُ ٱلْيَوْمَ عَنْ تَرْتِيبِ ٱلْفُرُشِ</t>
  </si>
  <si>
    <t>مَنْ لَمْ يَغْسِلِ ٱلْقَارُورَةَ</t>
  </si>
  <si>
    <t>مَنْ لَمْ تَغْسِلِ ٱلْقَارُورَةَ</t>
  </si>
  <si>
    <t>لَا تَنْسَ صَبَّ ٱلْمَاءِ فِي ٱلْفُتْحَةِ</t>
  </si>
  <si>
    <t>لَا تَنْسَيْ صَبَّ ٱلْمَاءِ فِي ٱلْفُتْحَةِ</t>
  </si>
  <si>
    <t>لَا يَصِلُنِي هَوَاءُ ٱلْمِرْوَحَةِ</t>
  </si>
  <si>
    <t>خُذْ أَغْرَاضَكَ ٱلْمُصَادَرَةَ</t>
  </si>
  <si>
    <t>خُذِي أَغْرَاضَكِ ٱلْمُصَادَرَةَ</t>
  </si>
  <si>
    <t>يَظُنُّ نَفْسَهُ أَفْضَلَ ٱلنَّاسِ</t>
  </si>
  <si>
    <t>تَظُنُّ نَفْسَهَا أَفْضَلَ ٱلنَّاسِ</t>
  </si>
  <si>
    <t>لَا تَنْسَ قِيَامَ ٱللَّيْلِ</t>
  </si>
  <si>
    <t>لَا تَنْسَيْ قِيَامَ ٱللَّيْلِ</t>
  </si>
  <si>
    <t>مِرْوَحَتُكَ ٱلْمَحْمُولَةُ مُزْعِجَةٌ جِدًّا</t>
  </si>
  <si>
    <t>مِرْوَحَتُكِ ٱلْمَحْمُولَةُ مُزْعِجَةٌ جِدًّا</t>
  </si>
  <si>
    <t>مَاذَا نَدْرُسُ ٱلْيَوْمَ</t>
  </si>
  <si>
    <t>أَيْنَ ٱلْمُصْحَفُ لِيُدَرِّسَ ٱلْأُسْتَاذُ</t>
  </si>
  <si>
    <t>أَيْنَ ٱلْمُصْحَفُ لِتُدَرِّسَ ٱلْأُسْتَاذَةُ</t>
  </si>
  <si>
    <t>أَعْطِنِي أَوَّلًا ٱلطَّبَقَ</t>
  </si>
  <si>
    <t>أَعْطِينِي أَوَّلًا ٱلطَّبَقَ</t>
  </si>
  <si>
    <t>ٱحْذَرْ، ٱلْكَأْسُ سَيَنْكَسِرُ</t>
  </si>
  <si>
    <t>ٱحْذَرِي، ٱلْكَأْسُ سَيَنْكَسِرُ</t>
  </si>
  <si>
    <t>وِسَادَتُكَ ٱلطَّوِيلَةُ أُلْقِيَتْ</t>
  </si>
  <si>
    <t>وِسَادَتُكِ ٱلطَّوِيلَةُ أُلْقِيَتْ</t>
  </si>
  <si>
    <t>فِي ٱلْمِغْسَلَةِ صُرْصُورٌ</t>
  </si>
  <si>
    <t>إِذَا أَكَلْتَ ٱلنُّودْلِزَ فَٱسْتَأْذِنْ</t>
  </si>
  <si>
    <t>إِذَا أَكَلْتِ ٱلنُّودْلِزَ فَٱسْتَأْذِنِي</t>
  </si>
  <si>
    <t>طَارَتْ سَلَّتِي</t>
  </si>
  <si>
    <t>سَجَّادَةُ مَنْ هَذِهِ عَلَى ٱلْأَرْضِ</t>
  </si>
  <si>
    <t>مَنْ خَالَفَ ٱلْيَوْمَ</t>
  </si>
  <si>
    <t>مَنْ خَالَفَتْ ٱلْيَوْمَ</t>
  </si>
  <si>
    <t>ٱلْخِزَانَةُ جَمِيلَةٌ</t>
  </si>
  <si>
    <t>خُذْ لِي ٱلْمِغْرَفَةَ لَوْ سَمَحْتَ</t>
  </si>
  <si>
    <t>خُذِي لِي ٱلْمِغْرَفَةَ لَوْ سَمَحْتِ</t>
  </si>
  <si>
    <t>أَغْلِقِ ٱلنَّافِذَةَ، ٱقْتَرَبَ ٱلْمَغْرِبُ</t>
  </si>
  <si>
    <t>أَغْلِقِي ٱلنَّافِذَةَ، ٱقْتَرَبَ ٱلْمَغْرِبُ</t>
  </si>
  <si>
    <t>أَيْنَ فِرَاشُكَ</t>
  </si>
  <si>
    <t>أَيْنَ فِرَاشُكِ</t>
  </si>
  <si>
    <t>هَلْ يَجِبُ أَنْ أُذَكِّرَكَ</t>
  </si>
  <si>
    <t>هَلْ يَجِبُ أَنْ أُذَكِّرَكِ</t>
  </si>
  <si>
    <t>لِمَاذَا لَمْ تَدْعُنِي</t>
  </si>
  <si>
    <t>لِمَاذَا لَمْ تَدْعِينِي</t>
  </si>
  <si>
    <t>قَلَنْسُوَتُنَا مُتَشَابِهَةٌ</t>
  </si>
  <si>
    <t>خِمَارُنَا مُتَشَابِهٌ</t>
  </si>
  <si>
    <t>ثَوْبُ مَنْ هَذَا يَطِيرُ</t>
  </si>
  <si>
    <t>ثَوْبُ مَنْ هَذِهِ تَطِيرُ</t>
  </si>
  <si>
    <t>هَيَّا، مَتَى ٱلتَّخَرُّجُ</t>
  </si>
  <si>
    <t>نَأْكُلُ مِي إِيكُو</t>
  </si>
  <si>
    <t>تَقَاسَمُوا ٱلْمِرْوَحَةَ</t>
  </si>
  <si>
    <t>تَقَاسَمْنَ ٱلْمِرْوَحَةَ</t>
  </si>
  <si>
    <t>بَابُ ٱلْحَمَّامِ ٱنْخَلَعَ</t>
  </si>
  <si>
    <t>ٱلْبَسْ ٱلْقَلَنْسُوَةَ</t>
  </si>
  <si>
    <t>ٱلْبَسِي ٱلْخِمَارَ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</si>
</sst>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tabSelected="1" zoomScale="175" zoomScaleNormal="175" workbookViewId="0">
      <selection activeCell="D4" sqref="D4"/>
    </sheetView>
  </sheetViews>
  <sheetFormatPr defaultRowHeight="15" x14ac:dyDescent="0.25"/>
  <cols>
    <col min="1" max="1" width="7.140625" bestFit="1" customWidth="1"/>
    <col min="2" max="2" width="45.140625" bestFit="1" customWidth="1"/>
    <col min="3" max="3" width="27.42578125" bestFit="1" customWidth="1"/>
    <col min="4" max="4" width="26" bestFit="1" customWidth="1"/>
  </cols>
  <sheetData>
    <row r="1" spans="1:6" x14ac:dyDescent="0.25">
      <c r="A1" s="24" t="s">
        <v>58</v>
      </c>
      <c r="B1" s="24"/>
      <c r="C1" s="24"/>
      <c r="D1" s="24"/>
      <c r="E1" s="24"/>
    </row>
    <row r="2" spans="1:6" x14ac:dyDescent="0.25">
      <c r="A2" s="23"/>
      <c r="B2" s="23"/>
      <c r="C2" s="23"/>
      <c r="D2" s="23"/>
      <c r="E2" s="23"/>
    </row>
    <row r="3" spans="1:6" ht="17.25" customHeight="1" x14ac:dyDescent="0.25">
      <c r="A3" s="11" t="s">
        <v>0</v>
      </c>
      <c r="B3" s="11" t="s">
        <v>1</v>
      </c>
      <c r="C3" s="11" t="s">
        <v>54</v>
      </c>
      <c r="D3" s="11" t="s">
        <v>55</v>
      </c>
      <c r="E3" s="11" t="s">
        <v>57</v>
      </c>
      <c r="F3" s="1"/>
    </row>
    <row r="4" spans="1:6" ht="17.25" customHeight="1" x14ac:dyDescent="0.25">
      <c r="A4" s="25">
        <v>1</v>
      </c>
      <c r="B4" s="13" t="s">
        <v>80</v>
      </c>
      <c r="C4" s="13" t="s">
        <v>178</v>
      </c>
      <c r="D4" s="13" t="s">
        <v>179</v>
      </c>
      <c r="E4" s="14">
        <v>1</v>
      </c>
    </row>
    <row r="5" spans="1:6" ht="17.25" customHeight="1" x14ac:dyDescent="0.25">
      <c r="A5" s="25"/>
      <c r="B5" s="13" t="s">
        <v>83</v>
      </c>
      <c r="C5" s="13" t="s">
        <v>104</v>
      </c>
      <c r="D5" s="13" t="s">
        <v>105</v>
      </c>
      <c r="E5" s="14">
        <f>E4+1</f>
        <v>2</v>
      </c>
    </row>
    <row r="6" spans="1:6" ht="17.25" customHeight="1" x14ac:dyDescent="0.25">
      <c r="A6" s="25"/>
      <c r="B6" s="13" t="s">
        <v>76</v>
      </c>
      <c r="C6" s="13" t="s">
        <v>106</v>
      </c>
      <c r="D6" s="13" t="s">
        <v>106</v>
      </c>
      <c r="E6" s="14">
        <f t="shared" ref="E6:E34" si="0">E5+1</f>
        <v>3</v>
      </c>
    </row>
    <row r="7" spans="1:6" ht="17.25" customHeight="1" x14ac:dyDescent="0.25">
      <c r="A7" s="25"/>
      <c r="B7" s="13" t="s">
        <v>73</v>
      </c>
      <c r="C7" s="13" t="s">
        <v>107</v>
      </c>
      <c r="D7" s="13" t="s">
        <v>108</v>
      </c>
      <c r="E7" s="14">
        <f t="shared" si="0"/>
        <v>4</v>
      </c>
    </row>
    <row r="8" spans="1:6" ht="17.25" customHeight="1" x14ac:dyDescent="0.25">
      <c r="A8" s="25"/>
      <c r="B8" s="13" t="s">
        <v>71</v>
      </c>
      <c r="C8" s="13" t="s">
        <v>109</v>
      </c>
      <c r="D8" s="13" t="s">
        <v>109</v>
      </c>
      <c r="E8" s="14">
        <f t="shared" si="0"/>
        <v>5</v>
      </c>
    </row>
    <row r="9" spans="1:6" ht="17.25" customHeight="1" x14ac:dyDescent="0.25">
      <c r="A9" s="26">
        <v>2</v>
      </c>
      <c r="B9" s="12" t="s">
        <v>69</v>
      </c>
      <c r="C9" s="12" t="s">
        <v>110</v>
      </c>
      <c r="D9" s="12" t="s">
        <v>110</v>
      </c>
      <c r="E9" s="15">
        <f t="shared" si="0"/>
        <v>6</v>
      </c>
    </row>
    <row r="10" spans="1:6" ht="17.25" customHeight="1" x14ac:dyDescent="0.25">
      <c r="A10" s="26"/>
      <c r="B10" s="12" t="s">
        <v>66</v>
      </c>
      <c r="C10" s="12" t="s">
        <v>111</v>
      </c>
      <c r="D10" s="12" t="s">
        <v>111</v>
      </c>
      <c r="E10" s="15">
        <f t="shared" si="0"/>
        <v>7</v>
      </c>
    </row>
    <row r="11" spans="1:6" ht="17.25" customHeight="1" x14ac:dyDescent="0.25">
      <c r="A11" s="26"/>
      <c r="B11" s="12" t="s">
        <v>64</v>
      </c>
      <c r="C11" s="12" t="s">
        <v>112</v>
      </c>
      <c r="D11" s="12" t="s">
        <v>113</v>
      </c>
      <c r="E11" s="15">
        <f t="shared" si="0"/>
        <v>8</v>
      </c>
    </row>
    <row r="12" spans="1:6" ht="17.25" customHeight="1" x14ac:dyDescent="0.25">
      <c r="A12" s="26"/>
      <c r="B12" s="12" t="s">
        <v>84</v>
      </c>
      <c r="C12" s="12" t="s">
        <v>114</v>
      </c>
      <c r="D12" s="12" t="s">
        <v>115</v>
      </c>
      <c r="E12" s="15">
        <f t="shared" si="0"/>
        <v>9</v>
      </c>
    </row>
    <row r="13" spans="1:6" ht="17.25" customHeight="1" x14ac:dyDescent="0.25">
      <c r="A13" s="26"/>
      <c r="B13" s="12" t="s">
        <v>59</v>
      </c>
      <c r="C13" s="12" t="s">
        <v>116</v>
      </c>
      <c r="D13" s="12" t="s">
        <v>117</v>
      </c>
      <c r="E13" s="15">
        <f t="shared" si="0"/>
        <v>10</v>
      </c>
    </row>
    <row r="14" spans="1:6" ht="17.25" customHeight="1" x14ac:dyDescent="0.25">
      <c r="A14" s="25">
        <v>3</v>
      </c>
      <c r="B14" s="13" t="s">
        <v>85</v>
      </c>
      <c r="C14" s="13" t="s">
        <v>118</v>
      </c>
      <c r="D14" s="13" t="s">
        <v>119</v>
      </c>
      <c r="E14" s="14">
        <f t="shared" si="0"/>
        <v>11</v>
      </c>
    </row>
    <row r="15" spans="1:6" ht="17.25" customHeight="1" x14ac:dyDescent="0.25">
      <c r="A15" s="25"/>
      <c r="B15" s="13" t="s">
        <v>86</v>
      </c>
      <c r="C15" s="13" t="s">
        <v>120</v>
      </c>
      <c r="D15" s="13" t="s">
        <v>121</v>
      </c>
      <c r="E15" s="14">
        <f t="shared" si="0"/>
        <v>12</v>
      </c>
    </row>
    <row r="16" spans="1:6" ht="17.25" customHeight="1" x14ac:dyDescent="0.25">
      <c r="A16" s="25"/>
      <c r="B16" s="13" t="s">
        <v>87</v>
      </c>
      <c r="C16" s="13" t="s">
        <v>122</v>
      </c>
      <c r="D16" s="13" t="s">
        <v>123</v>
      </c>
      <c r="E16" s="14">
        <f t="shared" si="0"/>
        <v>13</v>
      </c>
    </row>
    <row r="17" spans="1:5" ht="17.25" customHeight="1" x14ac:dyDescent="0.25">
      <c r="A17" s="25"/>
      <c r="B17" s="13" t="s">
        <v>88</v>
      </c>
      <c r="C17" s="13" t="s">
        <v>124</v>
      </c>
      <c r="D17" s="13" t="s">
        <v>125</v>
      </c>
      <c r="E17" s="14">
        <f t="shared" si="0"/>
        <v>14</v>
      </c>
    </row>
    <row r="18" spans="1:5" ht="17.25" customHeight="1" x14ac:dyDescent="0.25">
      <c r="A18" s="25"/>
      <c r="B18" s="13" t="s">
        <v>89</v>
      </c>
      <c r="C18" s="13" t="s">
        <v>126</v>
      </c>
      <c r="D18" s="13" t="s">
        <v>126</v>
      </c>
      <c r="E18" s="14">
        <f t="shared" si="0"/>
        <v>15</v>
      </c>
    </row>
    <row r="19" spans="1:5" ht="17.25" customHeight="1" x14ac:dyDescent="0.25">
      <c r="A19" s="26">
        <v>4</v>
      </c>
      <c r="B19" s="12" t="s">
        <v>90</v>
      </c>
      <c r="C19" s="12" t="s">
        <v>127</v>
      </c>
      <c r="D19" s="12" t="s">
        <v>128</v>
      </c>
      <c r="E19" s="15">
        <f t="shared" si="0"/>
        <v>16</v>
      </c>
    </row>
    <row r="20" spans="1:5" ht="17.25" customHeight="1" x14ac:dyDescent="0.25">
      <c r="A20" s="26"/>
      <c r="B20" s="12" t="s">
        <v>91</v>
      </c>
      <c r="C20" s="12" t="s">
        <v>129</v>
      </c>
      <c r="D20" s="12" t="s">
        <v>130</v>
      </c>
      <c r="E20" s="15">
        <f t="shared" si="0"/>
        <v>17</v>
      </c>
    </row>
    <row r="21" spans="1:5" ht="17.25" customHeight="1" x14ac:dyDescent="0.25">
      <c r="A21" s="26"/>
      <c r="B21" s="12" t="s">
        <v>92</v>
      </c>
      <c r="C21" s="12" t="s">
        <v>131</v>
      </c>
      <c r="D21" s="12" t="s">
        <v>132</v>
      </c>
      <c r="E21" s="15">
        <f t="shared" si="0"/>
        <v>18</v>
      </c>
    </row>
    <row r="22" spans="1:5" ht="17.25" customHeight="1" x14ac:dyDescent="0.25">
      <c r="A22" s="26"/>
      <c r="B22" s="12" t="s">
        <v>93</v>
      </c>
      <c r="C22" s="12" t="s">
        <v>133</v>
      </c>
      <c r="D22" s="12" t="s">
        <v>133</v>
      </c>
      <c r="E22" s="15">
        <f t="shared" si="0"/>
        <v>19</v>
      </c>
    </row>
    <row r="23" spans="1:5" ht="17.25" customHeight="1" x14ac:dyDescent="0.25">
      <c r="A23" s="26"/>
      <c r="B23" s="12" t="s">
        <v>94</v>
      </c>
      <c r="C23" s="12" t="s">
        <v>134</v>
      </c>
      <c r="D23" s="12" t="s">
        <v>135</v>
      </c>
      <c r="E23" s="15">
        <f t="shared" si="0"/>
        <v>20</v>
      </c>
    </row>
    <row r="24" spans="1:5" ht="17.25" customHeight="1" x14ac:dyDescent="0.25">
      <c r="A24" s="25">
        <v>5</v>
      </c>
      <c r="B24" s="13" t="s">
        <v>95</v>
      </c>
      <c r="C24" s="13" t="s">
        <v>136</v>
      </c>
      <c r="D24" s="13" t="s">
        <v>137</v>
      </c>
      <c r="E24" s="14">
        <f t="shared" si="0"/>
        <v>21</v>
      </c>
    </row>
    <row r="25" spans="1:5" ht="17.25" customHeight="1" x14ac:dyDescent="0.25">
      <c r="A25" s="25"/>
      <c r="B25" s="13" t="s">
        <v>96</v>
      </c>
      <c r="C25" s="13" t="s">
        <v>138</v>
      </c>
      <c r="D25" s="13" t="s">
        <v>139</v>
      </c>
      <c r="E25" s="14">
        <f t="shared" si="0"/>
        <v>22</v>
      </c>
    </row>
    <row r="26" spans="1:5" ht="17.25" customHeight="1" x14ac:dyDescent="0.25">
      <c r="A26" s="25"/>
      <c r="B26" s="13" t="s">
        <v>97</v>
      </c>
      <c r="C26" s="13" t="s">
        <v>140</v>
      </c>
      <c r="D26" s="13" t="s">
        <v>141</v>
      </c>
      <c r="E26" s="14">
        <f t="shared" si="0"/>
        <v>23</v>
      </c>
    </row>
    <row r="27" spans="1:5" ht="17.25" customHeight="1" x14ac:dyDescent="0.25">
      <c r="A27" s="25"/>
      <c r="B27" s="13" t="s">
        <v>98</v>
      </c>
      <c r="C27" s="13" t="s">
        <v>142</v>
      </c>
      <c r="D27" s="13" t="s">
        <v>142</v>
      </c>
      <c r="E27" s="14">
        <f t="shared" si="0"/>
        <v>24</v>
      </c>
    </row>
    <row r="28" spans="1:5" ht="17.25" customHeight="1" x14ac:dyDescent="0.25">
      <c r="A28" s="25"/>
      <c r="B28" s="13" t="s">
        <v>99</v>
      </c>
      <c r="C28" s="13" t="s">
        <v>143</v>
      </c>
      <c r="D28" s="13" t="s">
        <v>144</v>
      </c>
      <c r="E28" s="14">
        <f t="shared" si="0"/>
        <v>25</v>
      </c>
    </row>
    <row r="29" spans="1:5" ht="17.25" customHeight="1" x14ac:dyDescent="0.25">
      <c r="A29" s="26">
        <v>6</v>
      </c>
      <c r="B29" s="12" t="s">
        <v>100</v>
      </c>
      <c r="C29" s="12" t="s">
        <v>145</v>
      </c>
      <c r="D29" s="12" t="s">
        <v>146</v>
      </c>
      <c r="E29" s="15">
        <f t="shared" si="0"/>
        <v>26</v>
      </c>
    </row>
    <row r="30" spans="1:5" ht="17.25" customHeight="1" x14ac:dyDescent="0.25">
      <c r="A30" s="26"/>
      <c r="B30" s="12" t="s">
        <v>101</v>
      </c>
      <c r="C30" s="12" t="s">
        <v>147</v>
      </c>
      <c r="D30" s="12" t="s">
        <v>148</v>
      </c>
      <c r="E30" s="15">
        <f t="shared" si="0"/>
        <v>27</v>
      </c>
    </row>
    <row r="31" spans="1:5" ht="17.25" customHeight="1" x14ac:dyDescent="0.25">
      <c r="A31" s="26"/>
      <c r="B31" s="12" t="s">
        <v>102</v>
      </c>
      <c r="C31" s="12" t="s">
        <v>149</v>
      </c>
      <c r="D31" s="12" t="s">
        <v>150</v>
      </c>
      <c r="E31" s="15">
        <f t="shared" si="0"/>
        <v>28</v>
      </c>
    </row>
    <row r="32" spans="1:5" ht="17.25" customHeight="1" x14ac:dyDescent="0.25">
      <c r="A32" s="26"/>
      <c r="B32" s="12" t="s">
        <v>82</v>
      </c>
      <c r="C32" s="12" t="s">
        <v>151</v>
      </c>
      <c r="D32" s="12" t="s">
        <v>151</v>
      </c>
      <c r="E32" s="15">
        <f t="shared" si="0"/>
        <v>29</v>
      </c>
    </row>
    <row r="33" spans="1:5" ht="17.25" customHeight="1" x14ac:dyDescent="0.25">
      <c r="A33" s="26"/>
      <c r="B33" s="12" t="s">
        <v>60</v>
      </c>
      <c r="C33" s="12" t="s">
        <v>152</v>
      </c>
      <c r="D33" s="12" t="s">
        <v>153</v>
      </c>
      <c r="E33" s="15">
        <f t="shared" si="0"/>
        <v>30</v>
      </c>
    </row>
    <row r="34" spans="1:5" ht="17.25" customHeight="1" x14ac:dyDescent="0.25">
      <c r="A34" s="25">
        <v>7</v>
      </c>
      <c r="B34" s="13" t="s">
        <v>62</v>
      </c>
      <c r="C34" s="13" t="s">
        <v>154</v>
      </c>
      <c r="D34" s="13" t="s">
        <v>154</v>
      </c>
      <c r="E34" s="19">
        <f t="shared" si="0"/>
        <v>31</v>
      </c>
    </row>
    <row r="35" spans="1:5" ht="17.25" customHeight="1" x14ac:dyDescent="0.25">
      <c r="A35" s="25"/>
      <c r="B35" s="13" t="s">
        <v>67</v>
      </c>
      <c r="C35" s="13" t="s">
        <v>155</v>
      </c>
      <c r="D35" s="17" t="s">
        <v>155</v>
      </c>
      <c r="E35" s="20"/>
    </row>
    <row r="36" spans="1:5" ht="17.25" customHeight="1" x14ac:dyDescent="0.25">
      <c r="A36" s="25"/>
      <c r="B36" s="13" t="s">
        <v>74</v>
      </c>
      <c r="C36" s="13" t="s">
        <v>156</v>
      </c>
      <c r="D36" s="17" t="s">
        <v>157</v>
      </c>
      <c r="E36" s="21"/>
    </row>
    <row r="37" spans="1:5" ht="17.25" customHeight="1" x14ac:dyDescent="0.25">
      <c r="A37" s="25"/>
      <c r="B37" s="13" t="s">
        <v>77</v>
      </c>
      <c r="C37" s="13" t="s">
        <v>158</v>
      </c>
      <c r="D37" s="17" t="s">
        <v>158</v>
      </c>
      <c r="E37" s="21"/>
    </row>
    <row r="38" spans="1:5" ht="17.25" customHeight="1" x14ac:dyDescent="0.25">
      <c r="A38" s="25"/>
      <c r="B38" s="13" t="s">
        <v>78</v>
      </c>
      <c r="C38" s="13" t="s">
        <v>159</v>
      </c>
      <c r="D38" s="17" t="s">
        <v>160</v>
      </c>
      <c r="E38" s="21"/>
    </row>
    <row r="39" spans="1:5" ht="17.25" customHeight="1" x14ac:dyDescent="0.25">
      <c r="A39" s="26">
        <v>8</v>
      </c>
      <c r="B39" s="12" t="s">
        <v>81</v>
      </c>
      <c r="C39" s="12" t="s">
        <v>161</v>
      </c>
      <c r="D39" s="18" t="s">
        <v>162</v>
      </c>
      <c r="E39" s="21"/>
    </row>
    <row r="40" spans="1:5" ht="17.25" customHeight="1" x14ac:dyDescent="0.25">
      <c r="A40" s="26"/>
      <c r="B40" s="12" t="s">
        <v>79</v>
      </c>
      <c r="C40" s="12" t="s">
        <v>163</v>
      </c>
      <c r="D40" s="18" t="s">
        <v>164</v>
      </c>
      <c r="E40" s="21"/>
    </row>
    <row r="41" spans="1:5" ht="17.25" customHeight="1" x14ac:dyDescent="0.25">
      <c r="A41" s="26"/>
      <c r="B41" s="12" t="s">
        <v>75</v>
      </c>
      <c r="C41" s="12" t="s">
        <v>165</v>
      </c>
      <c r="D41" s="18" t="s">
        <v>166</v>
      </c>
      <c r="E41" s="21"/>
    </row>
    <row r="42" spans="1:5" ht="17.25" customHeight="1" x14ac:dyDescent="0.25">
      <c r="A42" s="26"/>
      <c r="B42" s="12" t="s">
        <v>72</v>
      </c>
      <c r="C42" s="12" t="s">
        <v>167</v>
      </c>
      <c r="D42" s="18" t="s">
        <v>168</v>
      </c>
      <c r="E42" s="21"/>
    </row>
    <row r="43" spans="1:5" ht="17.25" customHeight="1" x14ac:dyDescent="0.25">
      <c r="A43" s="26"/>
      <c r="B43" s="12" t="s">
        <v>70</v>
      </c>
      <c r="C43" s="12" t="s">
        <v>169</v>
      </c>
      <c r="D43" s="18" t="s">
        <v>170</v>
      </c>
      <c r="E43" s="21"/>
    </row>
    <row r="44" spans="1:5" ht="17.25" customHeight="1" x14ac:dyDescent="0.25">
      <c r="A44" s="25">
        <v>9</v>
      </c>
      <c r="B44" s="13" t="s">
        <v>68</v>
      </c>
      <c r="C44" s="13" t="s">
        <v>171</v>
      </c>
      <c r="D44" s="17" t="s">
        <v>172</v>
      </c>
      <c r="E44" s="21"/>
    </row>
    <row r="45" spans="1:5" ht="17.25" customHeight="1" x14ac:dyDescent="0.25">
      <c r="A45" s="25"/>
      <c r="B45" s="13" t="s">
        <v>65</v>
      </c>
      <c r="C45" s="13" t="s">
        <v>173</v>
      </c>
      <c r="D45" s="17" t="s">
        <v>173</v>
      </c>
      <c r="E45" s="21"/>
    </row>
    <row r="46" spans="1:5" ht="17.25" customHeight="1" x14ac:dyDescent="0.25">
      <c r="A46" s="25"/>
      <c r="B46" s="13" t="s">
        <v>63</v>
      </c>
      <c r="C46" s="13" t="s">
        <v>174</v>
      </c>
      <c r="D46" s="17" t="s">
        <v>174</v>
      </c>
      <c r="E46" s="21"/>
    </row>
    <row r="47" spans="1:5" ht="17.25" customHeight="1" x14ac:dyDescent="0.25">
      <c r="A47" s="25"/>
      <c r="B47" s="13" t="s">
        <v>61</v>
      </c>
      <c r="C47" s="13" t="s">
        <v>175</v>
      </c>
      <c r="D47" s="17" t="s">
        <v>176</v>
      </c>
      <c r="E47" s="21"/>
    </row>
    <row r="48" spans="1:5" ht="17.25" customHeight="1" x14ac:dyDescent="0.25">
      <c r="A48" s="25"/>
      <c r="B48" s="13" t="s">
        <v>103</v>
      </c>
      <c r="C48" s="13" t="s">
        <v>177</v>
      </c>
      <c r="D48" s="17" t="s">
        <v>177</v>
      </c>
      <c r="E48" s="22"/>
    </row>
  </sheetData>
  <mergeCells count="10">
    <mergeCell ref="A1:E1"/>
    <mergeCell ref="A34:A38"/>
    <mergeCell ref="A39:A43"/>
    <mergeCell ref="A44:A48"/>
    <mergeCell ref="A4:A8"/>
    <mergeCell ref="A9:A13"/>
    <mergeCell ref="A14:A18"/>
    <mergeCell ref="A19:A23"/>
    <mergeCell ref="A24:A28"/>
    <mergeCell ref="A29:A33"/>
  </mergeCells>
  <printOptions horizontalCentered="1" verticalCentered="1"/>
  <pageMargins left="0.25" right="0.25" top="0.25" bottom="0.25" header="0" footer="0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7541-2A51-4451-BEE1-3C90834DF9A6}">
  <sheetPr>
    <pageSetUpPr fitToPage="1"/>
  </sheetPr>
  <dimension ref="A1:E48"/>
  <sheetViews>
    <sheetView zoomScale="175" zoomScaleNormal="175" workbookViewId="0">
      <selection activeCell="C9" sqref="C9"/>
    </sheetView>
  </sheetViews>
  <sheetFormatPr defaultRowHeight="15" x14ac:dyDescent="0.25"/>
  <cols>
    <col min="1" max="1" width="7.140625" bestFit="1" customWidth="1"/>
    <col min="2" max="2" width="45.140625" bestFit="1" customWidth="1"/>
    <col min="3" max="3" width="27.42578125" bestFit="1" customWidth="1"/>
  </cols>
  <sheetData>
    <row r="1" spans="1:5" x14ac:dyDescent="0.25">
      <c r="A1" s="24" t="str">
        <f>Mufrodat!A1</f>
        <v>Mufrodat Mei - Juni 2026</v>
      </c>
      <c r="B1" s="24"/>
      <c r="C1" s="24"/>
      <c r="D1" s="24"/>
    </row>
    <row r="2" spans="1:5" x14ac:dyDescent="0.25">
      <c r="A2" s="23"/>
      <c r="B2" s="23"/>
      <c r="C2" s="23"/>
      <c r="D2" s="23"/>
    </row>
    <row r="3" spans="1:5" ht="17.25" customHeight="1" x14ac:dyDescent="0.25">
      <c r="A3" s="11" t="s">
        <v>0</v>
      </c>
      <c r="B3" s="11" t="s">
        <v>1</v>
      </c>
      <c r="C3" s="11" t="s">
        <v>54</v>
      </c>
      <c r="D3" s="11" t="s">
        <v>57</v>
      </c>
      <c r="E3" s="1"/>
    </row>
    <row r="4" spans="1:5" ht="17.25" customHeight="1" x14ac:dyDescent="0.25">
      <c r="A4" s="25">
        <v>1</v>
      </c>
      <c r="B4" s="13" t="str">
        <f>Mufrodat!B4</f>
        <v>Pintu dapur lepas</v>
      </c>
      <c r="C4" s="13" t="str">
        <f>Mufrodat!C4</f>
        <v>ٱلْبَسْ ٱلْقَلَنْسُوَةَ</v>
      </c>
      <c r="D4" s="14">
        <v>1</v>
      </c>
    </row>
    <row r="5" spans="1:5" ht="17.25" customHeight="1" x14ac:dyDescent="0.25">
      <c r="A5" s="25"/>
      <c r="B5" s="13" t="str">
        <f>Mufrodat!B5</f>
        <v>Pakai sudah mukenahnya (putra: songkok)</v>
      </c>
      <c r="C5" s="13" t="str">
        <f>Mufrodat!C5</f>
        <v>هَلْ لَبِسْتَ ٱلْقَلَنْسُوَةَ؟</v>
      </c>
      <c r="D5" s="14">
        <f>D4+1</f>
        <v>2</v>
      </c>
    </row>
    <row r="6" spans="1:5" ht="17.25" customHeight="1" x14ac:dyDescent="0.25">
      <c r="A6" s="25"/>
      <c r="B6" s="13" t="str">
        <f>Mufrodat!B6</f>
        <v>Gayungnya kepleset weh</v>
      </c>
      <c r="C6" s="13" t="str">
        <f>Mufrodat!C6</f>
        <v>ٱنْزَلَقَتِ ٱلْمِغْرَفَةُ</v>
      </c>
      <c r="D6" s="14">
        <f t="shared" ref="D6:D34" si="0">D5+1</f>
        <v>3</v>
      </c>
    </row>
    <row r="7" spans="1:5" ht="17.25" customHeight="1" x14ac:dyDescent="0.25">
      <c r="A7" s="25"/>
      <c r="B7" s="13" t="str">
        <f>Mufrodat!B7</f>
        <v>Putar pang itu kipasnya</v>
      </c>
      <c r="C7" s="13" t="str">
        <f>Mufrodat!C7</f>
        <v>أَدِرِ ٱلْمِرْوَحَةَ</v>
      </c>
      <c r="D7" s="14">
        <f t="shared" si="0"/>
        <v>4</v>
      </c>
    </row>
    <row r="8" spans="1:5" ht="17.25" customHeight="1" x14ac:dyDescent="0.25">
      <c r="A8" s="25"/>
      <c r="B8" s="13" t="str">
        <f>Mufrodat!B8</f>
        <v>Kurang banyak</v>
      </c>
      <c r="C8" s="13" t="str">
        <f>Mufrodat!C8</f>
        <v>قَلِيلٌ جِدًّا</v>
      </c>
      <c r="D8" s="14">
        <f t="shared" si="0"/>
        <v>5</v>
      </c>
    </row>
    <row r="9" spans="1:5" ht="17.25" customHeight="1" x14ac:dyDescent="0.25">
      <c r="A9" s="26">
        <v>2</v>
      </c>
      <c r="B9" s="16" t="str">
        <f>Mufrodat!B9</f>
        <v>Maksa setoran nih</v>
      </c>
      <c r="C9" s="16" t="str">
        <f>Mufrodat!C9</f>
        <v>يُجْبَرُ عَلَى ٱلتَّسْمِيعِ</v>
      </c>
      <c r="D9" s="15">
        <f t="shared" si="0"/>
        <v>6</v>
      </c>
    </row>
    <row r="10" spans="1:5" ht="17.25" customHeight="1" x14ac:dyDescent="0.25">
      <c r="A10" s="26"/>
      <c r="B10" s="16" t="str">
        <f>Mufrodat!B10</f>
        <v>Hangernya terbang</v>
      </c>
      <c r="C10" s="16" t="str">
        <f>Mufrodat!C10</f>
        <v>طَارَتِ ٱلْعَلَّاقَةُ</v>
      </c>
      <c r="D10" s="15">
        <f t="shared" si="0"/>
        <v>7</v>
      </c>
    </row>
    <row r="11" spans="1:5" ht="17.25" customHeight="1" x14ac:dyDescent="0.25">
      <c r="A11" s="26"/>
      <c r="B11" s="16" t="str">
        <f>Mufrodat!B11</f>
        <v>Pinjam kepala cas-an nah</v>
      </c>
      <c r="C11" s="16" t="str">
        <f>Mufrodat!C11</f>
        <v>أَعِرْنِي رَأْسَ ٱلشَّاحِنِ</v>
      </c>
      <c r="D11" s="15">
        <f t="shared" si="0"/>
        <v>8</v>
      </c>
    </row>
    <row r="12" spans="1:5" ht="17.25" customHeight="1" x14ac:dyDescent="0.25">
      <c r="A12" s="26"/>
      <c r="B12" s="16" t="str">
        <f>Mufrodat!B12</f>
        <v>Woi, miring kiblatnya</v>
      </c>
      <c r="C12" s="16" t="str">
        <f>Mufrodat!C12</f>
        <v>يَا هَذَا، ٱلْقِبْلَةُ مَائِلَةٌ</v>
      </c>
      <c r="D12" s="15">
        <f t="shared" si="0"/>
        <v>9</v>
      </c>
    </row>
    <row r="13" spans="1:5" ht="17.25" customHeight="1" x14ac:dyDescent="0.25">
      <c r="A13" s="26"/>
      <c r="B13" s="16" t="str">
        <f>Mufrodat!B13</f>
        <v>Mulutnya dijaga, jangan asbun</v>
      </c>
      <c r="C13" s="16" t="str">
        <f>Mufrodat!C13</f>
        <v>ٱحْفَظْ فَمَكَ، لَا تَتَكَلَّمْ بِغَيْرِ عِلْمٍ</v>
      </c>
      <c r="D13" s="15">
        <f t="shared" si="0"/>
        <v>10</v>
      </c>
    </row>
    <row r="14" spans="1:5" ht="17.25" customHeight="1" x14ac:dyDescent="0.25">
      <c r="A14" s="25">
        <v>3</v>
      </c>
      <c r="B14" s="13" t="str">
        <f>Mufrodat!B14</f>
        <v>Jangan berenang di wastafel</v>
      </c>
      <c r="C14" s="13" t="str">
        <f>Mufrodat!C14</f>
        <v>لَا تَسْبَحْ فِي ٱلْمِغْسَلَةِ</v>
      </c>
      <c r="D14" s="14">
        <f t="shared" si="0"/>
        <v>11</v>
      </c>
    </row>
    <row r="15" spans="1:5" ht="17.25" customHeight="1" x14ac:dyDescent="0.25">
      <c r="A15" s="25"/>
      <c r="B15" s="13" t="str">
        <f>Mufrodat!B15</f>
        <v>Eh, tolong kasur nah</v>
      </c>
      <c r="C15" s="13" t="str">
        <f>Mufrodat!C15</f>
        <v>خُذِ ٱلْفِرَاشَ لَوْ سَمَحْتَ</v>
      </c>
      <c r="D15" s="14">
        <f t="shared" si="0"/>
        <v>12</v>
      </c>
    </row>
    <row r="16" spans="1:5" ht="17.25" customHeight="1" x14ac:dyDescent="0.25">
      <c r="A16" s="25"/>
      <c r="B16" s="13" t="str">
        <f>Mufrodat!B16</f>
        <v>Coba lihat kalender</v>
      </c>
      <c r="C16" s="13" t="str">
        <f>Mufrodat!C16</f>
        <v>ٱنْظُرْ إِلَى ٱلتَّقْوِيمِ</v>
      </c>
      <c r="D16" s="14">
        <f t="shared" si="0"/>
        <v>13</v>
      </c>
    </row>
    <row r="17" spans="1:4" ht="17.25" customHeight="1" x14ac:dyDescent="0.25">
      <c r="A17" s="25"/>
      <c r="B17" s="13" t="str">
        <f>Mufrodat!B17</f>
        <v>Kalau malam, jangan lupa kunci jendelanya</v>
      </c>
      <c r="C17" s="13" t="str">
        <f>Mufrodat!C17</f>
        <v>إِذَا جَاءَ ٱللَّيْلُ فَلَا تَنْسَ إِغْلَاقَ ٱلنَّافِذَةِ</v>
      </c>
      <c r="D17" s="14">
        <f t="shared" si="0"/>
        <v>14</v>
      </c>
    </row>
    <row r="18" spans="1:4" ht="17.25" customHeight="1" x14ac:dyDescent="0.25">
      <c r="A18" s="25"/>
      <c r="B18" s="13" t="str">
        <f>Mufrodat!B18</f>
        <v>Kipasnya dicolok</v>
      </c>
      <c r="C18" s="13" t="str">
        <f>Mufrodat!C18</f>
        <v>تَمَّ تَوْصِيلُ ٱلْمِرْوَحَةِ</v>
      </c>
      <c r="D18" s="14">
        <f t="shared" si="0"/>
        <v>15</v>
      </c>
    </row>
    <row r="19" spans="1:4" ht="17.25" customHeight="1" x14ac:dyDescent="0.25">
      <c r="A19" s="26">
        <v>4</v>
      </c>
      <c r="B19" s="16" t="str">
        <f>Mufrodat!B19</f>
        <v>Siapa hari ini piket rapiin alat tidur</v>
      </c>
      <c r="C19" s="16" t="str">
        <f>Mufrodat!C19</f>
        <v>مَنْ ٱلْمَسْؤُولُ ٱلْيَوْمَ عَنْ تَرْتِيبِ ٱلْفُرُشِ</v>
      </c>
      <c r="D19" s="15">
        <f t="shared" si="0"/>
        <v>16</v>
      </c>
    </row>
    <row r="20" spans="1:4" ht="17.25" customHeight="1" x14ac:dyDescent="0.25">
      <c r="A20" s="26"/>
      <c r="B20" s="16" t="str">
        <f>Mufrodat!B20</f>
        <v>Siapa yang belum cuci botol</v>
      </c>
      <c r="C20" s="16" t="str">
        <f>Mufrodat!C20</f>
        <v>مَنْ لَمْ يَغْسِلِ ٱلْقَارُورَةَ</v>
      </c>
      <c r="D20" s="15">
        <f t="shared" si="0"/>
        <v>17</v>
      </c>
    </row>
    <row r="21" spans="1:4" ht="17.25" customHeight="1" x14ac:dyDescent="0.25">
      <c r="A21" s="26"/>
      <c r="B21" s="16" t="str">
        <f>Mufrodat!B21</f>
        <v>Jangan lupa disogok airnya ke lubang</v>
      </c>
      <c r="C21" s="16" t="str">
        <f>Mufrodat!C21</f>
        <v>لَا تَنْسَ صَبَّ ٱلْمَاءِ فِي ٱلْفُتْحَةِ</v>
      </c>
      <c r="D21" s="15">
        <f t="shared" si="0"/>
        <v>18</v>
      </c>
    </row>
    <row r="22" spans="1:4" ht="17.25" customHeight="1" x14ac:dyDescent="0.25">
      <c r="A22" s="26"/>
      <c r="B22" s="16" t="str">
        <f>Mufrodat!B22</f>
        <v>Aku nggak kena kipas weh</v>
      </c>
      <c r="C22" s="16" t="str">
        <f>Mufrodat!C22</f>
        <v>لَا يَصِلُنِي هَوَاءُ ٱلْمِرْوَحَةِ</v>
      </c>
      <c r="D22" s="15">
        <f t="shared" si="0"/>
        <v>19</v>
      </c>
    </row>
    <row r="23" spans="1:4" ht="17.25" customHeight="1" x14ac:dyDescent="0.25">
      <c r="A23" s="26"/>
      <c r="B23" s="16" t="str">
        <f>Mufrodat!B23</f>
        <v>Ambili barang sitaanmu</v>
      </c>
      <c r="C23" s="16" t="str">
        <f>Mufrodat!C23</f>
        <v>خُذْ أَغْرَاضَكَ ٱلْمُصَادَرَةَ</v>
      </c>
      <c r="D23" s="15">
        <f t="shared" si="0"/>
        <v>20</v>
      </c>
    </row>
    <row r="24" spans="1:4" ht="17.25" customHeight="1" x14ac:dyDescent="0.25">
      <c r="A24" s="25">
        <v>5</v>
      </c>
      <c r="B24" s="13" t="str">
        <f>Mufrodat!B24</f>
        <v>Si paling yang mulia</v>
      </c>
      <c r="C24" s="13" t="str">
        <f>Mufrodat!C24</f>
        <v>يَظُنُّ نَفْسَهُ أَفْضَلَ ٱلنَّاسِ</v>
      </c>
      <c r="D24" s="14">
        <f t="shared" si="0"/>
        <v>21</v>
      </c>
    </row>
    <row r="25" spans="1:4" ht="17.25" customHeight="1" x14ac:dyDescent="0.25">
      <c r="A25" s="25"/>
      <c r="B25" s="13" t="str">
        <f>Mufrodat!B25</f>
        <v>Jangan lupa tahajjud</v>
      </c>
      <c r="C25" s="13" t="str">
        <f>Mufrodat!C25</f>
        <v>لَا تَنْسَ قِيَامَ ٱللَّيْلِ</v>
      </c>
      <c r="D25" s="14">
        <f t="shared" si="0"/>
        <v>22</v>
      </c>
    </row>
    <row r="26" spans="1:4" ht="17.25" customHeight="1" x14ac:dyDescent="0.25">
      <c r="A26" s="25"/>
      <c r="B26" s="13" t="str">
        <f>Mufrodat!B26</f>
        <v>Kipas portable-mu ribut banget</v>
      </c>
      <c r="C26" s="13" t="str">
        <f>Mufrodat!C26</f>
        <v>مِرْوَحَتُكَ ٱلْمَحْمُولَةُ مُزْعِجَةٌ جِدًّا</v>
      </c>
      <c r="D26" s="14">
        <f t="shared" si="0"/>
        <v>23</v>
      </c>
    </row>
    <row r="27" spans="1:4" ht="17.25" customHeight="1" x14ac:dyDescent="0.25">
      <c r="A27" s="25"/>
      <c r="B27" s="13" t="str">
        <f>Mufrodat!B27</f>
        <v>Kita belajar apa hari ini</v>
      </c>
      <c r="C27" s="13" t="str">
        <f>Mufrodat!C27</f>
        <v>مَاذَا نَدْرُسُ ٱلْيَوْمَ</v>
      </c>
      <c r="D27" s="14">
        <f t="shared" si="0"/>
        <v>24</v>
      </c>
    </row>
    <row r="28" spans="1:4" ht="17.25" customHeight="1" x14ac:dyDescent="0.25">
      <c r="A28" s="25"/>
      <c r="B28" s="13" t="str">
        <f>Mufrodat!B28</f>
        <v>Di mana Al-Quran buat Ustadz ngajar</v>
      </c>
      <c r="C28" s="13" t="str">
        <f>Mufrodat!C28</f>
        <v>أَيْنَ ٱلْمُصْحَفُ لِيُدَرِّسَ ٱلْأُسْتَاذُ</v>
      </c>
      <c r="D28" s="14">
        <f t="shared" si="0"/>
        <v>25</v>
      </c>
    </row>
    <row r="29" spans="1:4" ht="17.25" customHeight="1" x14ac:dyDescent="0.25">
      <c r="A29" s="26">
        <v>6</v>
      </c>
      <c r="B29" s="16" t="str">
        <f>Mufrodat!B29</f>
        <v>Ambilkan dulu lepek</v>
      </c>
      <c r="C29" s="16" t="str">
        <f>Mufrodat!C29</f>
        <v>أَعْطِنِي أَوَّلًا ٱلطَّبَقَ</v>
      </c>
      <c r="D29" s="15">
        <f t="shared" si="0"/>
        <v>26</v>
      </c>
    </row>
    <row r="30" spans="1:4" ht="17.25" customHeight="1" x14ac:dyDescent="0.25">
      <c r="A30" s="26"/>
      <c r="B30" s="16" t="str">
        <f>Mufrodat!B30</f>
        <v>Awas gelasnya pecah</v>
      </c>
      <c r="C30" s="16" t="str">
        <f>Mufrodat!C30</f>
        <v>ٱحْذَرْ، ٱلْكَأْسُ سَيَنْكَسِرُ</v>
      </c>
      <c r="D30" s="15">
        <f t="shared" si="0"/>
        <v>27</v>
      </c>
    </row>
    <row r="31" spans="1:4" ht="17.25" customHeight="1" x14ac:dyDescent="0.25">
      <c r="A31" s="26"/>
      <c r="B31" s="16" t="str">
        <f>Mufrodat!B31</f>
        <v>Gulingmu dilempar</v>
      </c>
      <c r="C31" s="16" t="str">
        <f>Mufrodat!C31</f>
        <v>وِسَادَتُكَ ٱلطَّوِيلَةُ أُلْقِيَتْ</v>
      </c>
      <c r="D31" s="15">
        <f t="shared" si="0"/>
        <v>28</v>
      </c>
    </row>
    <row r="32" spans="1:4" ht="17.25" customHeight="1" x14ac:dyDescent="0.25">
      <c r="A32" s="26"/>
      <c r="B32" s="16" t="str">
        <f>Mufrodat!B32</f>
        <v>Di wastafel ada kecoa</v>
      </c>
      <c r="C32" s="16" t="str">
        <f>Mufrodat!C32</f>
        <v>فِي ٱلْمِغْسَلَةِ صُرْصُورٌ</v>
      </c>
      <c r="D32" s="15">
        <f t="shared" si="0"/>
        <v>29</v>
      </c>
    </row>
    <row r="33" spans="1:4" ht="17.25" customHeight="1" x14ac:dyDescent="0.25">
      <c r="A33" s="26"/>
      <c r="B33" s="16" t="str">
        <f>Mufrodat!B33</f>
        <v>Kalau makan mie, izin</v>
      </c>
      <c r="C33" s="16" t="str">
        <f>Mufrodat!C33</f>
        <v>إِذَا أَكَلْتَ ٱلنُّودْلِزَ فَٱسْتَأْذِنْ</v>
      </c>
      <c r="D33" s="15">
        <f t="shared" si="0"/>
        <v>30</v>
      </c>
    </row>
    <row r="34" spans="1:4" ht="17.25" customHeight="1" x14ac:dyDescent="0.25">
      <c r="A34" s="25">
        <v>7</v>
      </c>
      <c r="B34" s="13" t="str">
        <f>Mufrodat!B34</f>
        <v>Keranjangku terbang</v>
      </c>
      <c r="C34" s="13" t="str">
        <f>Mufrodat!C34</f>
        <v>طَارَتْ سَلَّتِي</v>
      </c>
      <c r="D34" s="19">
        <f t="shared" si="0"/>
        <v>31</v>
      </c>
    </row>
    <row r="35" spans="1:4" ht="17.25" customHeight="1" x14ac:dyDescent="0.25">
      <c r="A35" s="25"/>
      <c r="B35" s="13" t="str">
        <f>Mufrodat!B35</f>
        <v>Sajadah siapa ini di lantai</v>
      </c>
      <c r="C35" s="13" t="str">
        <f>Mufrodat!C35</f>
        <v>سَجَّادَةُ مَنْ هَذِهِ عَلَى ٱلْأَرْضِ</v>
      </c>
      <c r="D35" s="20"/>
    </row>
    <row r="36" spans="1:4" ht="17.25" customHeight="1" x14ac:dyDescent="0.25">
      <c r="A36" s="25"/>
      <c r="B36" s="13" t="str">
        <f>Mufrodat!B36</f>
        <v>Siapa yang hari ini ngelanggar</v>
      </c>
      <c r="C36" s="13" t="str">
        <f>Mufrodat!C36</f>
        <v>مَنْ خَالَفَ ٱلْيَوْمَ</v>
      </c>
      <c r="D36" s="21"/>
    </row>
    <row r="37" spans="1:4" ht="17.25" customHeight="1" x14ac:dyDescent="0.25">
      <c r="A37" s="25"/>
      <c r="B37" s="13" t="str">
        <f>Mufrodat!B37</f>
        <v>Lemarinya manis</v>
      </c>
      <c r="C37" s="13" t="str">
        <f>Mufrodat!C37</f>
        <v>ٱلْخِزَانَةُ جَمِيلَةٌ</v>
      </c>
      <c r="D37" s="21"/>
    </row>
    <row r="38" spans="1:4" ht="17.25" customHeight="1" x14ac:dyDescent="0.25">
      <c r="A38" s="25"/>
      <c r="B38" s="13" t="str">
        <f>Mufrodat!B38</f>
        <v>Tolong ambilkan gayungku nah</v>
      </c>
      <c r="C38" s="13" t="str">
        <f>Mufrodat!C38</f>
        <v>خُذْ لِي ٱلْمِغْرَفَةَ لَوْ سَمَحْتَ</v>
      </c>
      <c r="D38" s="21"/>
    </row>
    <row r="39" spans="1:4" ht="17.25" customHeight="1" x14ac:dyDescent="0.25">
      <c r="A39" s="26">
        <v>8</v>
      </c>
      <c r="B39" s="16" t="str">
        <f>Mufrodat!B39</f>
        <v>Tutup jendelanya, mau Maghrib</v>
      </c>
      <c r="C39" s="16" t="str">
        <f>Mufrodat!C39</f>
        <v>أَغْلِقِ ٱلنَّافِذَةَ، ٱقْتَرَبَ ٱلْمَغْرِبُ</v>
      </c>
      <c r="D39" s="21"/>
    </row>
    <row r="40" spans="1:4" ht="17.25" customHeight="1" x14ac:dyDescent="0.25">
      <c r="A40" s="26"/>
      <c r="B40" s="16" t="str">
        <f>Mufrodat!B40</f>
        <v>Kasurmu mana</v>
      </c>
      <c r="C40" s="16" t="str">
        <f>Mufrodat!C40</f>
        <v>أَيْنَ فِرَاشُكَ</v>
      </c>
      <c r="D40" s="21"/>
    </row>
    <row r="41" spans="1:4" ht="17.25" customHeight="1" x14ac:dyDescent="0.25">
      <c r="A41" s="26"/>
      <c r="B41" s="16" t="str">
        <f>Mufrodat!B41</f>
        <v>Haruskah diingatin dulu</v>
      </c>
      <c r="C41" s="16" t="str">
        <f>Mufrodat!C41</f>
        <v>هَلْ يَجِبُ أَنْ أُذَكِّرَكَ</v>
      </c>
      <c r="D41" s="21"/>
    </row>
    <row r="42" spans="1:4" ht="17.25" customHeight="1" x14ac:dyDescent="0.25">
      <c r="A42" s="26"/>
      <c r="B42" s="16" t="str">
        <f>Mufrodat!B42</f>
        <v>Kok aku nggak diajak</v>
      </c>
      <c r="C42" s="16" t="str">
        <f>Mufrodat!C42</f>
        <v>لِمَاذَا لَمْ تَدْعُنِي</v>
      </c>
      <c r="D42" s="21"/>
    </row>
    <row r="43" spans="1:4" ht="17.25" customHeight="1" x14ac:dyDescent="0.25">
      <c r="A43" s="26"/>
      <c r="B43" s="16" t="str">
        <f>Mufrodat!B43</f>
        <v>Mukenah (putra: songkok) kita sama</v>
      </c>
      <c r="C43" s="16" t="str">
        <f>Mufrodat!C43</f>
        <v>قَلَنْسُوَتُنَا مُتَشَابِهَةٌ</v>
      </c>
      <c r="D43" s="21"/>
    </row>
    <row r="44" spans="1:4" ht="17.25" customHeight="1" x14ac:dyDescent="0.25">
      <c r="A44" s="25">
        <v>9</v>
      </c>
      <c r="B44" s="13" t="str">
        <f>Mufrodat!B44</f>
        <v>Baju siapa itu ngapung</v>
      </c>
      <c r="C44" s="13" t="str">
        <f>Mufrodat!C44</f>
        <v>ثَوْبُ مَنْ هَذَا يَطِيرُ</v>
      </c>
      <c r="D44" s="21"/>
    </row>
    <row r="45" spans="1:4" ht="17.25" customHeight="1" x14ac:dyDescent="0.25">
      <c r="A45" s="25"/>
      <c r="B45" s="13" t="str">
        <f>Mufrodat!B45</f>
        <v>Ayo nah kapan wisuda</v>
      </c>
      <c r="C45" s="13" t="str">
        <f>Mufrodat!C45</f>
        <v>هَيَّا، مَتَى ٱلتَّخَرُّجُ</v>
      </c>
      <c r="D45" s="21"/>
    </row>
    <row r="46" spans="1:4" ht="17.25" customHeight="1" x14ac:dyDescent="0.25">
      <c r="A46" s="25"/>
      <c r="B46" s="13" t="str">
        <f>Mufrodat!B46</f>
        <v>Makannya Mie Eko</v>
      </c>
      <c r="C46" s="13" t="str">
        <f>Mufrodat!C46</f>
        <v>نَأْكُلُ مِي إِيكُو</v>
      </c>
      <c r="D46" s="21"/>
    </row>
    <row r="47" spans="1:4" ht="17.25" customHeight="1" x14ac:dyDescent="0.25">
      <c r="A47" s="25"/>
      <c r="B47" s="13" t="str">
        <f>Mufrodat!B47</f>
        <v>Berbagi kipasnya</v>
      </c>
      <c r="C47" s="13" t="str">
        <f>Mufrodat!C47</f>
        <v>تَقَاسَمُوا ٱلْمِرْوَحَةَ</v>
      </c>
      <c r="D47" s="21"/>
    </row>
    <row r="48" spans="1:4" ht="17.25" customHeight="1" x14ac:dyDescent="0.25">
      <c r="A48" s="25"/>
      <c r="B48" s="13" t="str">
        <f>Mufrodat!B48</f>
        <v>Pintu kamar mandi lepas</v>
      </c>
      <c r="C48" s="13" t="str">
        <f>Mufrodat!C48</f>
        <v>بَابُ ٱلْحَمَّامِ ٱنْخَلَعَ</v>
      </c>
      <c r="D48" s="22"/>
    </row>
  </sheetData>
  <mergeCells count="10">
    <mergeCell ref="A29:A33"/>
    <mergeCell ref="A34:A38"/>
    <mergeCell ref="A39:A43"/>
    <mergeCell ref="A44:A48"/>
    <mergeCell ref="A1:D1"/>
    <mergeCell ref="A4:A8"/>
    <mergeCell ref="A9:A13"/>
    <mergeCell ref="A14:A18"/>
    <mergeCell ref="A19:A23"/>
    <mergeCell ref="A24:A28"/>
  </mergeCells>
  <printOptions horizontalCentered="1" verticalCentered="1"/>
  <pageMargins left="0.25" right="0.25" top="0.75" bottom="0.75" header="0.3" footer="0.3"/>
  <pageSetup paperSize="9" scale="92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B099-BC6A-4CFB-B3C0-4A4CD6C746AB}">
  <sheetPr>
    <pageSetUpPr fitToPage="1"/>
  </sheetPr>
  <dimension ref="A1:E48"/>
  <sheetViews>
    <sheetView zoomScale="175" zoomScaleNormal="175" workbookViewId="0">
      <selection activeCell="A2" sqref="A2"/>
    </sheetView>
  </sheetViews>
  <sheetFormatPr defaultRowHeight="15" x14ac:dyDescent="0.25"/>
  <cols>
    <col min="1" max="1" width="7.140625" bestFit="1" customWidth="1"/>
    <col min="2" max="2" width="45.140625" bestFit="1" customWidth="1"/>
    <col min="3" max="3" width="27.42578125" bestFit="1" customWidth="1"/>
  </cols>
  <sheetData>
    <row r="1" spans="1:5" x14ac:dyDescent="0.25">
      <c r="A1" s="24" t="str">
        <f>Mufrodat!A1</f>
        <v>Mufrodat Mei - Juni 2026</v>
      </c>
      <c r="B1" s="24"/>
      <c r="C1" s="24"/>
      <c r="D1" s="24"/>
    </row>
    <row r="2" spans="1:5" x14ac:dyDescent="0.25">
      <c r="A2" s="23"/>
      <c r="B2" s="23"/>
      <c r="C2" s="23"/>
      <c r="D2" s="23"/>
    </row>
    <row r="3" spans="1:5" ht="17.25" customHeight="1" x14ac:dyDescent="0.25">
      <c r="A3" s="11" t="s">
        <v>0</v>
      </c>
      <c r="B3" s="11" t="s">
        <v>1</v>
      </c>
      <c r="C3" s="11" t="s">
        <v>55</v>
      </c>
      <c r="D3" s="11" t="s">
        <v>57</v>
      </c>
      <c r="E3" s="1"/>
    </row>
    <row r="4" spans="1:5" ht="17.25" customHeight="1" x14ac:dyDescent="0.25">
      <c r="A4" s="25">
        <v>1</v>
      </c>
      <c r="B4" s="13" t="str">
        <f>Mufrodat!B4</f>
        <v>Pintu dapur lepas</v>
      </c>
      <c r="C4" s="13" t="str">
        <f>Mufrodat!D4</f>
        <v>ٱلْبَسِي ٱلْخِمَارَ</v>
      </c>
      <c r="D4" s="14">
        <v>1</v>
      </c>
    </row>
    <row r="5" spans="1:5" ht="17.25" customHeight="1" x14ac:dyDescent="0.25">
      <c r="A5" s="25"/>
      <c r="B5" s="13" t="str">
        <f>Mufrodat!B5</f>
        <v>Pakai sudah mukenahnya (putra: songkok)</v>
      </c>
      <c r="C5" s="13" t="str">
        <f>Mufrodat!D5</f>
        <v>هَلْ لَبِسْتِ ٱلْخِمَارَ؟</v>
      </c>
      <c r="D5" s="14">
        <f>D4+1</f>
        <v>2</v>
      </c>
    </row>
    <row r="6" spans="1:5" ht="17.25" customHeight="1" x14ac:dyDescent="0.25">
      <c r="A6" s="25"/>
      <c r="B6" s="13" t="str">
        <f>Mufrodat!B6</f>
        <v>Gayungnya kepleset weh</v>
      </c>
      <c r="C6" s="13" t="str">
        <f>Mufrodat!D6</f>
        <v>ٱنْزَلَقَتِ ٱلْمِغْرَفَةُ</v>
      </c>
      <c r="D6" s="14">
        <f t="shared" ref="D6:D34" si="0">D5+1</f>
        <v>3</v>
      </c>
    </row>
    <row r="7" spans="1:5" ht="17.25" customHeight="1" x14ac:dyDescent="0.25">
      <c r="A7" s="25"/>
      <c r="B7" s="13" t="str">
        <f>Mufrodat!B7</f>
        <v>Putar pang itu kipasnya</v>
      </c>
      <c r="C7" s="13" t="str">
        <f>Mufrodat!D7</f>
        <v>أَدِيرِي ٱلْمِرْوَحَةَ</v>
      </c>
      <c r="D7" s="14">
        <f t="shared" si="0"/>
        <v>4</v>
      </c>
    </row>
    <row r="8" spans="1:5" ht="17.25" customHeight="1" x14ac:dyDescent="0.25">
      <c r="A8" s="25"/>
      <c r="B8" s="13" t="str">
        <f>Mufrodat!B8</f>
        <v>Kurang banyak</v>
      </c>
      <c r="C8" s="13" t="str">
        <f>Mufrodat!D8</f>
        <v>قَلِيلٌ جِدًّا</v>
      </c>
      <c r="D8" s="14">
        <f t="shared" si="0"/>
        <v>5</v>
      </c>
    </row>
    <row r="9" spans="1:5" ht="17.25" customHeight="1" x14ac:dyDescent="0.25">
      <c r="A9" s="26">
        <v>2</v>
      </c>
      <c r="B9" s="16" t="str">
        <f>Mufrodat!B9</f>
        <v>Maksa setoran nih</v>
      </c>
      <c r="C9" s="16" t="str">
        <f>Mufrodat!D9</f>
        <v>يُجْبَرُ عَلَى ٱلتَّسْمِيعِ</v>
      </c>
      <c r="D9" s="15">
        <f t="shared" si="0"/>
        <v>6</v>
      </c>
    </row>
    <row r="10" spans="1:5" ht="17.25" customHeight="1" x14ac:dyDescent="0.25">
      <c r="A10" s="26"/>
      <c r="B10" s="16" t="str">
        <f>Mufrodat!B10</f>
        <v>Hangernya terbang</v>
      </c>
      <c r="C10" s="16" t="str">
        <f>Mufrodat!D10</f>
        <v>طَارَتِ ٱلْعَلَّاقَةُ</v>
      </c>
      <c r="D10" s="15">
        <f t="shared" si="0"/>
        <v>7</v>
      </c>
    </row>
    <row r="11" spans="1:5" ht="17.25" customHeight="1" x14ac:dyDescent="0.25">
      <c r="A11" s="26"/>
      <c r="B11" s="16" t="str">
        <f>Mufrodat!B11</f>
        <v>Pinjam kepala cas-an nah</v>
      </c>
      <c r="C11" s="16" t="str">
        <f>Mufrodat!D11</f>
        <v>أَعِيرِينِي رَأْسَ ٱلشَّاحِنِ</v>
      </c>
      <c r="D11" s="15">
        <f t="shared" si="0"/>
        <v>8</v>
      </c>
    </row>
    <row r="12" spans="1:5" ht="17.25" customHeight="1" x14ac:dyDescent="0.25">
      <c r="A12" s="26"/>
      <c r="B12" s="16" t="str">
        <f>Mufrodat!B12</f>
        <v>Woi, miring kiblatnya</v>
      </c>
      <c r="C12" s="16" t="str">
        <f>Mufrodat!D12</f>
        <v>يَا هَذِهِ، ٱلْقِبْلَةُ مَائِلَةٌ</v>
      </c>
      <c r="D12" s="15">
        <f t="shared" si="0"/>
        <v>9</v>
      </c>
    </row>
    <row r="13" spans="1:5" ht="17.25" customHeight="1" x14ac:dyDescent="0.25">
      <c r="A13" s="26"/>
      <c r="B13" s="16" t="str">
        <f>Mufrodat!B13</f>
        <v>Mulutnya dijaga, jangan asbun</v>
      </c>
      <c r="C13" s="16" t="str">
        <f>Mufrodat!D13</f>
        <v>ٱحْفَظِي فَمَكِ، لَا تَتَكَلَّمِي بِغَيْرِ عِلْمٍ</v>
      </c>
      <c r="D13" s="15">
        <f t="shared" si="0"/>
        <v>10</v>
      </c>
    </row>
    <row r="14" spans="1:5" ht="17.25" customHeight="1" x14ac:dyDescent="0.25">
      <c r="A14" s="25">
        <v>3</v>
      </c>
      <c r="B14" s="13" t="str">
        <f>Mufrodat!B14</f>
        <v>Jangan berenang di wastafel</v>
      </c>
      <c r="C14" s="13" t="str">
        <f>Mufrodat!D14</f>
        <v>لَا تَسْبَحِي فِي ٱلْمِغْسَلَةِ</v>
      </c>
      <c r="D14" s="14">
        <f t="shared" si="0"/>
        <v>11</v>
      </c>
    </row>
    <row r="15" spans="1:5" ht="17.25" customHeight="1" x14ac:dyDescent="0.25">
      <c r="A15" s="25"/>
      <c r="B15" s="13" t="str">
        <f>Mufrodat!B15</f>
        <v>Eh, tolong kasur nah</v>
      </c>
      <c r="C15" s="13" t="str">
        <f>Mufrodat!D15</f>
        <v>خُذِي ٱلْفِرَاشَ لَوْ سَمَحْتِ</v>
      </c>
      <c r="D15" s="14">
        <f t="shared" si="0"/>
        <v>12</v>
      </c>
    </row>
    <row r="16" spans="1:5" ht="17.25" customHeight="1" x14ac:dyDescent="0.25">
      <c r="A16" s="25"/>
      <c r="B16" s="13" t="str">
        <f>Mufrodat!B16</f>
        <v>Coba lihat kalender</v>
      </c>
      <c r="C16" s="13" t="str">
        <f>Mufrodat!D16</f>
        <v>ٱنْظُرِي إِلَى ٱلتَّقْوِيمِ</v>
      </c>
      <c r="D16" s="14">
        <f t="shared" si="0"/>
        <v>13</v>
      </c>
    </row>
    <row r="17" spans="1:4" ht="17.25" customHeight="1" x14ac:dyDescent="0.25">
      <c r="A17" s="25"/>
      <c r="B17" s="13" t="str">
        <f>Mufrodat!B17</f>
        <v>Kalau malam, jangan lupa kunci jendelanya</v>
      </c>
      <c r="C17" s="13" t="str">
        <f>Mufrodat!D17</f>
        <v>إِذَا جَاءَ ٱللَّيْلُ فَلَا تَنْسَيْ إِغْلَاقَ ٱلنَّافِذَةِ</v>
      </c>
      <c r="D17" s="14">
        <f t="shared" si="0"/>
        <v>14</v>
      </c>
    </row>
    <row r="18" spans="1:4" ht="17.25" customHeight="1" x14ac:dyDescent="0.25">
      <c r="A18" s="25"/>
      <c r="B18" s="13" t="str">
        <f>Mufrodat!B18</f>
        <v>Kipasnya dicolok</v>
      </c>
      <c r="C18" s="13" t="str">
        <f>Mufrodat!D18</f>
        <v>تَمَّ تَوْصِيلُ ٱلْمِرْوَحَةِ</v>
      </c>
      <c r="D18" s="14">
        <f t="shared" si="0"/>
        <v>15</v>
      </c>
    </row>
    <row r="19" spans="1:4" ht="17.25" customHeight="1" x14ac:dyDescent="0.25">
      <c r="A19" s="26">
        <v>4</v>
      </c>
      <c r="B19" s="16" t="str">
        <f>Mufrodat!B19</f>
        <v>Siapa hari ini piket rapiin alat tidur</v>
      </c>
      <c r="C19" s="16" t="str">
        <f>Mufrodat!D19</f>
        <v>مَنْ ٱلْمَسْؤُولَةُ ٱلْيَوْمَ عَنْ تَرْتِيبِ ٱلْفُرُشِ</v>
      </c>
      <c r="D19" s="15">
        <f t="shared" si="0"/>
        <v>16</v>
      </c>
    </row>
    <row r="20" spans="1:4" ht="17.25" customHeight="1" x14ac:dyDescent="0.25">
      <c r="A20" s="26"/>
      <c r="B20" s="16" t="str">
        <f>Mufrodat!B20</f>
        <v>Siapa yang belum cuci botol</v>
      </c>
      <c r="C20" s="16" t="str">
        <f>Mufrodat!D20</f>
        <v>مَنْ لَمْ تَغْسِلِ ٱلْقَارُورَةَ</v>
      </c>
      <c r="D20" s="15">
        <f t="shared" si="0"/>
        <v>17</v>
      </c>
    </row>
    <row r="21" spans="1:4" ht="17.25" customHeight="1" x14ac:dyDescent="0.25">
      <c r="A21" s="26"/>
      <c r="B21" s="16" t="str">
        <f>Mufrodat!B21</f>
        <v>Jangan lupa disogok airnya ke lubang</v>
      </c>
      <c r="C21" s="16" t="str">
        <f>Mufrodat!D21</f>
        <v>لَا تَنْسَيْ صَبَّ ٱلْمَاءِ فِي ٱلْفُتْحَةِ</v>
      </c>
      <c r="D21" s="15">
        <f t="shared" si="0"/>
        <v>18</v>
      </c>
    </row>
    <row r="22" spans="1:4" ht="17.25" customHeight="1" x14ac:dyDescent="0.25">
      <c r="A22" s="26"/>
      <c r="B22" s="16" t="str">
        <f>Mufrodat!B22</f>
        <v>Aku nggak kena kipas weh</v>
      </c>
      <c r="C22" s="16" t="str">
        <f>Mufrodat!D22</f>
        <v>لَا يَصِلُنِي هَوَاءُ ٱلْمِرْوَحَةِ</v>
      </c>
      <c r="D22" s="15">
        <f t="shared" si="0"/>
        <v>19</v>
      </c>
    </row>
    <row r="23" spans="1:4" ht="17.25" customHeight="1" x14ac:dyDescent="0.25">
      <c r="A23" s="26"/>
      <c r="B23" s="16" t="str">
        <f>Mufrodat!B23</f>
        <v>Ambili barang sitaanmu</v>
      </c>
      <c r="C23" s="16" t="str">
        <f>Mufrodat!D23</f>
        <v>خُذِي أَغْرَاضَكِ ٱلْمُصَادَرَةَ</v>
      </c>
      <c r="D23" s="15">
        <f t="shared" si="0"/>
        <v>20</v>
      </c>
    </row>
    <row r="24" spans="1:4" ht="17.25" customHeight="1" x14ac:dyDescent="0.25">
      <c r="A24" s="25">
        <v>5</v>
      </c>
      <c r="B24" s="13" t="str">
        <f>Mufrodat!B24</f>
        <v>Si paling yang mulia</v>
      </c>
      <c r="C24" s="13" t="str">
        <f>Mufrodat!D24</f>
        <v>تَظُنُّ نَفْسَهَا أَفْضَلَ ٱلنَّاسِ</v>
      </c>
      <c r="D24" s="14">
        <f t="shared" si="0"/>
        <v>21</v>
      </c>
    </row>
    <row r="25" spans="1:4" ht="17.25" customHeight="1" x14ac:dyDescent="0.25">
      <c r="A25" s="25"/>
      <c r="B25" s="13" t="str">
        <f>Mufrodat!B25</f>
        <v>Jangan lupa tahajjud</v>
      </c>
      <c r="C25" s="13" t="str">
        <f>Mufrodat!D25</f>
        <v>لَا تَنْسَيْ قِيَامَ ٱللَّيْلِ</v>
      </c>
      <c r="D25" s="14">
        <f t="shared" si="0"/>
        <v>22</v>
      </c>
    </row>
    <row r="26" spans="1:4" ht="17.25" customHeight="1" x14ac:dyDescent="0.25">
      <c r="A26" s="25"/>
      <c r="B26" s="13" t="str">
        <f>Mufrodat!B26</f>
        <v>Kipas portable-mu ribut banget</v>
      </c>
      <c r="C26" s="13" t="str">
        <f>Mufrodat!D26</f>
        <v>مِرْوَحَتُكِ ٱلْمَحْمُولَةُ مُزْعِجَةٌ جِدًّا</v>
      </c>
      <c r="D26" s="14">
        <f t="shared" si="0"/>
        <v>23</v>
      </c>
    </row>
    <row r="27" spans="1:4" ht="17.25" customHeight="1" x14ac:dyDescent="0.25">
      <c r="A27" s="25"/>
      <c r="B27" s="13" t="str">
        <f>Mufrodat!B27</f>
        <v>Kita belajar apa hari ini</v>
      </c>
      <c r="C27" s="13" t="str">
        <f>Mufrodat!D27</f>
        <v>مَاذَا نَدْرُسُ ٱلْيَوْمَ</v>
      </c>
      <c r="D27" s="14">
        <f t="shared" si="0"/>
        <v>24</v>
      </c>
    </row>
    <row r="28" spans="1:4" ht="17.25" customHeight="1" x14ac:dyDescent="0.25">
      <c r="A28" s="25"/>
      <c r="B28" s="13" t="str">
        <f>Mufrodat!B28</f>
        <v>Di mana Al-Quran buat Ustadz ngajar</v>
      </c>
      <c r="C28" s="13" t="str">
        <f>Mufrodat!D28</f>
        <v>أَيْنَ ٱلْمُصْحَفُ لِتُدَرِّسَ ٱلْأُسْتَاذَةُ</v>
      </c>
      <c r="D28" s="14">
        <f t="shared" si="0"/>
        <v>25</v>
      </c>
    </row>
    <row r="29" spans="1:4" ht="17.25" customHeight="1" x14ac:dyDescent="0.25">
      <c r="A29" s="26">
        <v>6</v>
      </c>
      <c r="B29" s="16" t="str">
        <f>Mufrodat!B29</f>
        <v>Ambilkan dulu lepek</v>
      </c>
      <c r="C29" s="16" t="str">
        <f>Mufrodat!D29</f>
        <v>أَعْطِينِي أَوَّلًا ٱلطَّبَقَ</v>
      </c>
      <c r="D29" s="15">
        <f t="shared" si="0"/>
        <v>26</v>
      </c>
    </row>
    <row r="30" spans="1:4" ht="17.25" customHeight="1" x14ac:dyDescent="0.25">
      <c r="A30" s="26"/>
      <c r="B30" s="16" t="str">
        <f>Mufrodat!B30</f>
        <v>Awas gelasnya pecah</v>
      </c>
      <c r="C30" s="16" t="str">
        <f>Mufrodat!D30</f>
        <v>ٱحْذَرِي، ٱلْكَأْسُ سَيَنْكَسِرُ</v>
      </c>
      <c r="D30" s="15">
        <f t="shared" si="0"/>
        <v>27</v>
      </c>
    </row>
    <row r="31" spans="1:4" ht="17.25" customHeight="1" x14ac:dyDescent="0.25">
      <c r="A31" s="26"/>
      <c r="B31" s="16" t="str">
        <f>Mufrodat!B31</f>
        <v>Gulingmu dilempar</v>
      </c>
      <c r="C31" s="16" t="str">
        <f>Mufrodat!D31</f>
        <v>وِسَادَتُكِ ٱلطَّوِيلَةُ أُلْقِيَتْ</v>
      </c>
      <c r="D31" s="15">
        <f t="shared" si="0"/>
        <v>28</v>
      </c>
    </row>
    <row r="32" spans="1:4" ht="17.25" customHeight="1" x14ac:dyDescent="0.25">
      <c r="A32" s="26"/>
      <c r="B32" s="16" t="str">
        <f>Mufrodat!B32</f>
        <v>Di wastafel ada kecoa</v>
      </c>
      <c r="C32" s="16" t="str">
        <f>Mufrodat!D32</f>
        <v>فِي ٱلْمِغْسَلَةِ صُرْصُورٌ</v>
      </c>
      <c r="D32" s="15">
        <f t="shared" si="0"/>
        <v>29</v>
      </c>
    </row>
    <row r="33" spans="1:4" ht="17.25" customHeight="1" x14ac:dyDescent="0.25">
      <c r="A33" s="26"/>
      <c r="B33" s="16" t="str">
        <f>Mufrodat!B33</f>
        <v>Kalau makan mie, izin</v>
      </c>
      <c r="C33" s="16" t="str">
        <f>Mufrodat!D33</f>
        <v>إِذَا أَكَلْتِ ٱلنُّودْلِزَ فَٱسْتَأْذِنِي</v>
      </c>
      <c r="D33" s="15">
        <f t="shared" si="0"/>
        <v>30</v>
      </c>
    </row>
    <row r="34" spans="1:4" ht="17.25" customHeight="1" x14ac:dyDescent="0.25">
      <c r="A34" s="25">
        <v>7</v>
      </c>
      <c r="B34" s="13" t="str">
        <f>Mufrodat!B34</f>
        <v>Keranjangku terbang</v>
      </c>
      <c r="C34" s="13" t="str">
        <f>Mufrodat!D34</f>
        <v>طَارَتْ سَلَّتِي</v>
      </c>
      <c r="D34" s="19">
        <f t="shared" si="0"/>
        <v>31</v>
      </c>
    </row>
    <row r="35" spans="1:4" ht="17.25" customHeight="1" x14ac:dyDescent="0.25">
      <c r="A35" s="25"/>
      <c r="B35" s="13" t="str">
        <f>Mufrodat!B35</f>
        <v>Sajadah siapa ini di lantai</v>
      </c>
      <c r="C35" s="13" t="str">
        <f>Mufrodat!D35</f>
        <v>سَجَّادَةُ مَنْ هَذِهِ عَلَى ٱلْأَرْضِ</v>
      </c>
      <c r="D35" s="20"/>
    </row>
    <row r="36" spans="1:4" ht="17.25" customHeight="1" x14ac:dyDescent="0.25">
      <c r="A36" s="25"/>
      <c r="B36" s="13" t="str">
        <f>Mufrodat!B36</f>
        <v>Siapa yang hari ini ngelanggar</v>
      </c>
      <c r="C36" s="13" t="str">
        <f>Mufrodat!D36</f>
        <v>مَنْ خَالَفَتْ ٱلْيَوْمَ</v>
      </c>
      <c r="D36" s="21"/>
    </row>
    <row r="37" spans="1:4" ht="17.25" customHeight="1" x14ac:dyDescent="0.25">
      <c r="A37" s="25"/>
      <c r="B37" s="13" t="str">
        <f>Mufrodat!B37</f>
        <v>Lemarinya manis</v>
      </c>
      <c r="C37" s="13" t="str">
        <f>Mufrodat!D37</f>
        <v>ٱلْخِزَانَةُ جَمِيلَةٌ</v>
      </c>
      <c r="D37" s="21"/>
    </row>
    <row r="38" spans="1:4" ht="17.25" customHeight="1" x14ac:dyDescent="0.25">
      <c r="A38" s="25"/>
      <c r="B38" s="13" t="str">
        <f>Mufrodat!B38</f>
        <v>Tolong ambilkan gayungku nah</v>
      </c>
      <c r="C38" s="13" t="str">
        <f>Mufrodat!D38</f>
        <v>خُذِي لِي ٱلْمِغْرَفَةَ لَوْ سَمَحْتِ</v>
      </c>
      <c r="D38" s="21"/>
    </row>
    <row r="39" spans="1:4" ht="17.25" customHeight="1" x14ac:dyDescent="0.25">
      <c r="A39" s="26">
        <v>8</v>
      </c>
      <c r="B39" s="16" t="str">
        <f>Mufrodat!B39</f>
        <v>Tutup jendelanya, mau Maghrib</v>
      </c>
      <c r="C39" s="16" t="str">
        <f>Mufrodat!D39</f>
        <v>أَغْلِقِي ٱلنَّافِذَةَ، ٱقْتَرَبَ ٱلْمَغْرِبُ</v>
      </c>
      <c r="D39" s="21"/>
    </row>
    <row r="40" spans="1:4" ht="17.25" customHeight="1" x14ac:dyDescent="0.25">
      <c r="A40" s="26"/>
      <c r="B40" s="16" t="str">
        <f>Mufrodat!B40</f>
        <v>Kasurmu mana</v>
      </c>
      <c r="C40" s="16" t="str">
        <f>Mufrodat!D40</f>
        <v>أَيْنَ فِرَاشُكِ</v>
      </c>
      <c r="D40" s="21"/>
    </row>
    <row r="41" spans="1:4" ht="17.25" customHeight="1" x14ac:dyDescent="0.25">
      <c r="A41" s="26"/>
      <c r="B41" s="16" t="str">
        <f>Mufrodat!B41</f>
        <v>Haruskah diingatin dulu</v>
      </c>
      <c r="C41" s="16" t="str">
        <f>Mufrodat!D41</f>
        <v>هَلْ يَجِبُ أَنْ أُذَكِّرَكِ</v>
      </c>
      <c r="D41" s="21"/>
    </row>
    <row r="42" spans="1:4" ht="17.25" customHeight="1" x14ac:dyDescent="0.25">
      <c r="A42" s="26"/>
      <c r="B42" s="16" t="str">
        <f>Mufrodat!B42</f>
        <v>Kok aku nggak diajak</v>
      </c>
      <c r="C42" s="16" t="str">
        <f>Mufrodat!D42</f>
        <v>لِمَاذَا لَمْ تَدْعِينِي</v>
      </c>
      <c r="D42" s="21"/>
    </row>
    <row r="43" spans="1:4" ht="17.25" customHeight="1" x14ac:dyDescent="0.25">
      <c r="A43" s="26"/>
      <c r="B43" s="16" t="str">
        <f>Mufrodat!B43</f>
        <v>Mukenah (putra: songkok) kita sama</v>
      </c>
      <c r="C43" s="16" t="str">
        <f>Mufrodat!D43</f>
        <v>خِمَارُنَا مُتَشَابِهٌ</v>
      </c>
      <c r="D43" s="21"/>
    </row>
    <row r="44" spans="1:4" ht="17.25" customHeight="1" x14ac:dyDescent="0.25">
      <c r="A44" s="25">
        <v>9</v>
      </c>
      <c r="B44" s="13" t="str">
        <f>Mufrodat!B44</f>
        <v>Baju siapa itu ngapung</v>
      </c>
      <c r="C44" s="13" t="str">
        <f>Mufrodat!D44</f>
        <v>ثَوْبُ مَنْ هَذِهِ تَطِيرُ</v>
      </c>
      <c r="D44" s="21"/>
    </row>
    <row r="45" spans="1:4" ht="17.25" customHeight="1" x14ac:dyDescent="0.25">
      <c r="A45" s="25"/>
      <c r="B45" s="13" t="str">
        <f>Mufrodat!B45</f>
        <v>Ayo nah kapan wisuda</v>
      </c>
      <c r="C45" s="13" t="str">
        <f>Mufrodat!D45</f>
        <v>هَيَّا، مَتَى ٱلتَّخَرُّجُ</v>
      </c>
      <c r="D45" s="21"/>
    </row>
    <row r="46" spans="1:4" ht="17.25" customHeight="1" x14ac:dyDescent="0.25">
      <c r="A46" s="25"/>
      <c r="B46" s="13" t="str">
        <f>Mufrodat!B46</f>
        <v>Makannya Mie Eko</v>
      </c>
      <c r="C46" s="13" t="str">
        <f>Mufrodat!D46</f>
        <v>نَأْكُلُ مِي إِيكُو</v>
      </c>
      <c r="D46" s="21"/>
    </row>
    <row r="47" spans="1:4" ht="17.25" customHeight="1" x14ac:dyDescent="0.25">
      <c r="A47" s="25"/>
      <c r="B47" s="13" t="str">
        <f>Mufrodat!B47</f>
        <v>Berbagi kipasnya</v>
      </c>
      <c r="C47" s="13" t="str">
        <f>Mufrodat!D47</f>
        <v>تَقَاسَمْنَ ٱلْمِرْوَحَةَ</v>
      </c>
      <c r="D47" s="21"/>
    </row>
    <row r="48" spans="1:4" ht="17.25" customHeight="1" x14ac:dyDescent="0.25">
      <c r="A48" s="25"/>
      <c r="B48" s="13" t="str">
        <f>Mufrodat!B48</f>
        <v>Pintu kamar mandi lepas</v>
      </c>
      <c r="C48" s="13" t="str">
        <f>Mufrodat!D48</f>
        <v>بَابُ ٱلْحَمَّامِ ٱنْخَلَعَ</v>
      </c>
      <c r="D48" s="22"/>
    </row>
  </sheetData>
  <mergeCells count="10">
    <mergeCell ref="A29:A33"/>
    <mergeCell ref="A34:A38"/>
    <mergeCell ref="A39:A43"/>
    <mergeCell ref="A44:A48"/>
    <mergeCell ref="A1:D1"/>
    <mergeCell ref="A4:A8"/>
    <mergeCell ref="A9:A13"/>
    <mergeCell ref="A14:A18"/>
    <mergeCell ref="A19:A23"/>
    <mergeCell ref="A24:A28"/>
  </mergeCells>
  <printOptions horizontalCentered="1" verticalCentered="1"/>
  <pageMargins left="0.25" right="0.25" top="0.75" bottom="0.75" header="0.3" footer="0.3"/>
  <pageSetup paperSize="9" scale="92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D2D3-394C-4C10-BE9B-EFB0DEC21088}">
  <sheetPr>
    <pageSetUpPr fitToPage="1"/>
  </sheetPr>
  <dimension ref="A1:B33"/>
  <sheetViews>
    <sheetView topLeftCell="A13" zoomScaleNormal="100" workbookViewId="0">
      <selection activeCell="B28" sqref="B28"/>
    </sheetView>
  </sheetViews>
  <sheetFormatPr defaultRowHeight="21" customHeight="1" x14ac:dyDescent="0.25"/>
  <cols>
    <col min="1" max="1" width="7.140625" bestFit="1" customWidth="1"/>
    <col min="2" max="2" width="70.85546875" customWidth="1"/>
    <col min="3" max="3" width="29" bestFit="1" customWidth="1"/>
  </cols>
  <sheetData>
    <row r="1" spans="1:2" ht="21" customHeight="1" x14ac:dyDescent="0.25">
      <c r="A1" s="6" t="s">
        <v>0</v>
      </c>
      <c r="B1" s="6" t="s">
        <v>53</v>
      </c>
    </row>
    <row r="2" spans="1:2" ht="21" customHeight="1" x14ac:dyDescent="0.25">
      <c r="A2" s="4">
        <v>1</v>
      </c>
      <c r="B2" s="5" t="s">
        <v>2</v>
      </c>
    </row>
    <row r="3" spans="1:2" ht="21" customHeight="1" x14ac:dyDescent="0.25">
      <c r="A3" s="4">
        <f>A2+1</f>
        <v>2</v>
      </c>
      <c r="B3" s="5" t="s">
        <v>8</v>
      </c>
    </row>
    <row r="4" spans="1:2" ht="21" customHeight="1" x14ac:dyDescent="0.25">
      <c r="A4" s="4">
        <f t="shared" ref="A4:A10" si="0">A3+1</f>
        <v>3</v>
      </c>
      <c r="B4" s="5" t="s">
        <v>9</v>
      </c>
    </row>
    <row r="5" spans="1:2" ht="21" customHeight="1" x14ac:dyDescent="0.25">
      <c r="A5" s="4">
        <f t="shared" si="0"/>
        <v>4</v>
      </c>
      <c r="B5" s="9" t="s">
        <v>10</v>
      </c>
    </row>
    <row r="6" spans="1:2" ht="21" customHeight="1" x14ac:dyDescent="0.25">
      <c r="A6" s="4">
        <f t="shared" si="0"/>
        <v>5</v>
      </c>
      <c r="B6" s="9" t="s">
        <v>12</v>
      </c>
    </row>
    <row r="7" spans="1:2" ht="21" customHeight="1" x14ac:dyDescent="0.25">
      <c r="A7" s="4">
        <f t="shared" si="0"/>
        <v>6</v>
      </c>
      <c r="B7" s="5" t="s">
        <v>13</v>
      </c>
    </row>
    <row r="8" spans="1:2" ht="21" customHeight="1" x14ac:dyDescent="0.25">
      <c r="A8" s="4">
        <f t="shared" si="0"/>
        <v>7</v>
      </c>
      <c r="B8" s="9" t="s">
        <v>14</v>
      </c>
    </row>
    <row r="9" spans="1:2" ht="21" customHeight="1" x14ac:dyDescent="0.25">
      <c r="A9" s="4">
        <f t="shared" si="0"/>
        <v>8</v>
      </c>
      <c r="B9" s="5" t="s">
        <v>15</v>
      </c>
    </row>
    <row r="10" spans="1:2" ht="21" customHeight="1" x14ac:dyDescent="0.25">
      <c r="A10" s="4">
        <f t="shared" si="0"/>
        <v>9</v>
      </c>
      <c r="B10" s="9" t="s">
        <v>17</v>
      </c>
    </row>
    <row r="11" spans="1:2" ht="21" customHeight="1" x14ac:dyDescent="0.25">
      <c r="A11" s="2">
        <v>1</v>
      </c>
      <c r="B11" s="10" t="s">
        <v>18</v>
      </c>
    </row>
    <row r="12" spans="1:2" ht="21" customHeight="1" x14ac:dyDescent="0.25">
      <c r="A12" s="2">
        <v>2</v>
      </c>
      <c r="B12" s="3" t="s">
        <v>19</v>
      </c>
    </row>
    <row r="13" spans="1:2" ht="21" customHeight="1" x14ac:dyDescent="0.25">
      <c r="A13" s="2">
        <v>3</v>
      </c>
      <c r="B13" s="10" t="s">
        <v>20</v>
      </c>
    </row>
    <row r="14" spans="1:2" ht="21" customHeight="1" x14ac:dyDescent="0.25">
      <c r="A14" s="2">
        <v>4</v>
      </c>
      <c r="B14" s="10" t="s">
        <v>21</v>
      </c>
    </row>
    <row r="15" spans="1:2" ht="21" customHeight="1" x14ac:dyDescent="0.25">
      <c r="A15" s="2">
        <v>5</v>
      </c>
      <c r="B15" s="10" t="s">
        <v>22</v>
      </c>
    </row>
    <row r="16" spans="1:2" ht="21" customHeight="1" x14ac:dyDescent="0.25">
      <c r="A16" s="2">
        <v>6</v>
      </c>
      <c r="B16" s="7" t="s">
        <v>23</v>
      </c>
    </row>
    <row r="17" spans="1:2" ht="21" customHeight="1" x14ac:dyDescent="0.25">
      <c r="A17" s="2">
        <v>7</v>
      </c>
      <c r="B17" s="7" t="s">
        <v>24</v>
      </c>
    </row>
    <row r="18" spans="1:2" ht="21" customHeight="1" x14ac:dyDescent="0.25">
      <c r="A18" s="2">
        <v>8</v>
      </c>
      <c r="B18" s="7" t="s">
        <v>26</v>
      </c>
    </row>
    <row r="19" spans="1:2" ht="21" customHeight="1" x14ac:dyDescent="0.25">
      <c r="A19" s="2">
        <v>9</v>
      </c>
      <c r="B19" s="7" t="s">
        <v>28</v>
      </c>
    </row>
    <row r="20" spans="1:2" ht="21" customHeight="1" x14ac:dyDescent="0.25">
      <c r="A20" s="4">
        <v>1</v>
      </c>
      <c r="B20" s="8" t="s">
        <v>30</v>
      </c>
    </row>
    <row r="21" spans="1:2" ht="21" customHeight="1" x14ac:dyDescent="0.25">
      <c r="A21" s="4">
        <v>2</v>
      </c>
      <c r="B21" s="8" t="s">
        <v>31</v>
      </c>
    </row>
    <row r="22" spans="1:2" ht="21" customHeight="1" x14ac:dyDescent="0.25">
      <c r="A22" s="4">
        <v>3</v>
      </c>
      <c r="B22" s="8" t="s">
        <v>32</v>
      </c>
    </row>
    <row r="23" spans="1:2" ht="21" customHeight="1" x14ac:dyDescent="0.25">
      <c r="A23" s="4">
        <v>4</v>
      </c>
      <c r="B23" s="8" t="s">
        <v>33</v>
      </c>
    </row>
    <row r="24" spans="1:2" ht="21" customHeight="1" x14ac:dyDescent="0.25">
      <c r="A24" s="4">
        <v>5</v>
      </c>
      <c r="B24" s="8" t="s">
        <v>34</v>
      </c>
    </row>
    <row r="25" spans="1:2" ht="21" customHeight="1" x14ac:dyDescent="0.25">
      <c r="A25" s="4">
        <v>6</v>
      </c>
      <c r="B25" s="8" t="s">
        <v>37</v>
      </c>
    </row>
    <row r="26" spans="1:2" ht="21" customHeight="1" x14ac:dyDescent="0.25">
      <c r="A26" s="4">
        <v>7</v>
      </c>
      <c r="B26" s="8" t="s">
        <v>38</v>
      </c>
    </row>
    <row r="27" spans="1:2" ht="21" customHeight="1" x14ac:dyDescent="0.25">
      <c r="A27" s="4">
        <v>8</v>
      </c>
      <c r="B27" s="8" t="s">
        <v>39</v>
      </c>
    </row>
    <row r="28" spans="1:2" ht="21" customHeight="1" x14ac:dyDescent="0.25">
      <c r="A28" s="4">
        <v>9</v>
      </c>
      <c r="B28" s="8" t="s">
        <v>42</v>
      </c>
    </row>
    <row r="29" spans="1:2" ht="21" customHeight="1" x14ac:dyDescent="0.25">
      <c r="A29" s="2">
        <v>1</v>
      </c>
      <c r="B29" s="10" t="s">
        <v>46</v>
      </c>
    </row>
    <row r="30" spans="1:2" ht="21" customHeight="1" x14ac:dyDescent="0.25">
      <c r="A30" s="2">
        <v>2</v>
      </c>
      <c r="B30" s="7" t="s">
        <v>47</v>
      </c>
    </row>
    <row r="31" spans="1:2" ht="21" customHeight="1" x14ac:dyDescent="0.25">
      <c r="A31" s="2">
        <v>3</v>
      </c>
      <c r="B31" s="7" t="s">
        <v>48</v>
      </c>
    </row>
    <row r="32" spans="1:2" ht="21" customHeight="1" x14ac:dyDescent="0.25">
      <c r="A32" s="2">
        <v>4</v>
      </c>
      <c r="B32" s="7" t="s">
        <v>49</v>
      </c>
    </row>
    <row r="33" spans="1:2" ht="21" customHeight="1" x14ac:dyDescent="0.25">
      <c r="A33" s="2">
        <v>5</v>
      </c>
      <c r="B33" s="7" t="s">
        <v>56</v>
      </c>
    </row>
  </sheetData>
  <printOptions horizontalCentered="1" verticalCentered="1"/>
  <pageMargins left="0.25" right="0.25" top="0.25" bottom="0.25" header="0" footer="0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34FF-4EEE-4786-93D5-DF5E36D912B7}">
  <sheetPr>
    <pageSetUpPr fitToPage="1"/>
  </sheetPr>
  <dimension ref="A1:B21"/>
  <sheetViews>
    <sheetView topLeftCell="A9" workbookViewId="0">
      <selection activeCell="B12" sqref="B12"/>
    </sheetView>
  </sheetViews>
  <sheetFormatPr defaultRowHeight="21" customHeight="1" x14ac:dyDescent="0.25"/>
  <cols>
    <col min="1" max="1" width="7.140625" bestFit="1" customWidth="1"/>
    <col min="2" max="2" width="70.85546875" customWidth="1"/>
    <col min="3" max="3" width="29" bestFit="1" customWidth="1"/>
  </cols>
  <sheetData>
    <row r="1" spans="1:2" ht="29.25" customHeight="1" x14ac:dyDescent="0.25">
      <c r="A1" s="6" t="s">
        <v>0</v>
      </c>
      <c r="B1" s="6" t="s">
        <v>53</v>
      </c>
    </row>
    <row r="2" spans="1:2" ht="29.25" customHeight="1" x14ac:dyDescent="0.25">
      <c r="A2" s="4">
        <v>1</v>
      </c>
      <c r="B2" s="5" t="s">
        <v>3</v>
      </c>
    </row>
    <row r="3" spans="1:2" ht="29.25" customHeight="1" x14ac:dyDescent="0.25">
      <c r="A3" s="4">
        <f>A2+1</f>
        <v>2</v>
      </c>
      <c r="B3" s="5" t="s">
        <v>4</v>
      </c>
    </row>
    <row r="4" spans="1:2" ht="29.25" customHeight="1" x14ac:dyDescent="0.25">
      <c r="A4" s="4">
        <f t="shared" ref="A4:A10" si="0">A3+1</f>
        <v>3</v>
      </c>
      <c r="B4" s="5" t="s">
        <v>5</v>
      </c>
    </row>
    <row r="5" spans="1:2" ht="29.25" customHeight="1" x14ac:dyDescent="0.25">
      <c r="A5" s="4">
        <f t="shared" si="0"/>
        <v>4</v>
      </c>
      <c r="B5" s="9" t="s">
        <v>6</v>
      </c>
    </row>
    <row r="6" spans="1:2" ht="29.25" customHeight="1" x14ac:dyDescent="0.25">
      <c r="A6" s="4">
        <f t="shared" si="0"/>
        <v>5</v>
      </c>
      <c r="B6" s="9" t="s">
        <v>7</v>
      </c>
    </row>
    <row r="7" spans="1:2" ht="29.25" customHeight="1" x14ac:dyDescent="0.25">
      <c r="A7" s="4">
        <f t="shared" si="0"/>
        <v>6</v>
      </c>
      <c r="B7" s="5" t="s">
        <v>11</v>
      </c>
    </row>
    <row r="8" spans="1:2" ht="29.25" customHeight="1" x14ac:dyDescent="0.25">
      <c r="A8" s="4">
        <f t="shared" si="0"/>
        <v>7</v>
      </c>
      <c r="B8" s="9" t="s">
        <v>16</v>
      </c>
    </row>
    <row r="9" spans="1:2" ht="29.25" customHeight="1" x14ac:dyDescent="0.25">
      <c r="A9" s="4">
        <f t="shared" si="0"/>
        <v>8</v>
      </c>
      <c r="B9" s="5" t="s">
        <v>25</v>
      </c>
    </row>
    <row r="10" spans="1:2" ht="29.25" customHeight="1" x14ac:dyDescent="0.25">
      <c r="A10" s="4">
        <f t="shared" si="0"/>
        <v>9</v>
      </c>
      <c r="B10" s="9" t="s">
        <v>27</v>
      </c>
    </row>
    <row r="11" spans="1:2" ht="29.25" customHeight="1" x14ac:dyDescent="0.25">
      <c r="A11" s="2">
        <v>1</v>
      </c>
      <c r="B11" s="10" t="s">
        <v>29</v>
      </c>
    </row>
    <row r="12" spans="1:2" ht="29.25" customHeight="1" x14ac:dyDescent="0.25">
      <c r="A12" s="2">
        <v>2</v>
      </c>
      <c r="B12" s="3" t="s">
        <v>35</v>
      </c>
    </row>
    <row r="13" spans="1:2" ht="29.25" customHeight="1" x14ac:dyDescent="0.25">
      <c r="A13" s="2">
        <v>3</v>
      </c>
      <c r="B13" s="10" t="s">
        <v>36</v>
      </c>
    </row>
    <row r="14" spans="1:2" ht="29.25" customHeight="1" x14ac:dyDescent="0.25">
      <c r="A14" s="2">
        <v>4</v>
      </c>
      <c r="B14" s="10" t="s">
        <v>40</v>
      </c>
    </row>
    <row r="15" spans="1:2" ht="29.25" customHeight="1" x14ac:dyDescent="0.25">
      <c r="A15" s="2">
        <v>5</v>
      </c>
      <c r="B15" s="10" t="s">
        <v>41</v>
      </c>
    </row>
    <row r="16" spans="1:2" ht="29.25" customHeight="1" x14ac:dyDescent="0.25">
      <c r="A16" s="2">
        <v>6</v>
      </c>
      <c r="B16" s="7" t="s">
        <v>43</v>
      </c>
    </row>
    <row r="17" spans="1:2" ht="29.25" customHeight="1" x14ac:dyDescent="0.25">
      <c r="A17" s="2">
        <v>7</v>
      </c>
      <c r="B17" s="7" t="s">
        <v>44</v>
      </c>
    </row>
    <row r="18" spans="1:2" ht="29.25" customHeight="1" x14ac:dyDescent="0.25">
      <c r="A18" s="2">
        <v>8</v>
      </c>
      <c r="B18" s="7" t="s">
        <v>45</v>
      </c>
    </row>
    <row r="19" spans="1:2" ht="29.25" customHeight="1" x14ac:dyDescent="0.25">
      <c r="A19" s="2">
        <v>9</v>
      </c>
      <c r="B19" s="7" t="s">
        <v>50</v>
      </c>
    </row>
    <row r="20" spans="1:2" ht="29.25" customHeight="1" x14ac:dyDescent="0.25">
      <c r="A20" s="4">
        <v>1</v>
      </c>
      <c r="B20" s="8" t="s">
        <v>51</v>
      </c>
    </row>
    <row r="21" spans="1:2" ht="29.25" customHeight="1" x14ac:dyDescent="0.25">
      <c r="A21" s="4">
        <v>2</v>
      </c>
      <c r="B21" s="8" t="s">
        <v>52</v>
      </c>
    </row>
  </sheetData>
  <printOptions horizontalCentered="1" verticalCentered="1"/>
  <pageMargins left="0.25" right="0.25" top="0.25" bottom="0.25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Mufrodat</vt:lpstr>
      <vt:lpstr>Mufrodat Putra</vt:lpstr>
      <vt:lpstr>Mufrodat Putri</vt:lpstr>
      <vt:lpstr>Nama Putra</vt:lpstr>
      <vt:lpstr>Nama Putri</vt:lpstr>
      <vt:lpstr>Mufrodat!Print_Area</vt:lpstr>
      <vt:lpstr>'Mufrodat Putra'!Print_Area</vt:lpstr>
      <vt:lpstr>'Mufrodat Putri'!Print_Area</vt:lpstr>
      <vt:lpstr>'Nama Putra'!Print_Area</vt:lpstr>
      <vt:lpstr>'Nama Putri'!Print_Area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emhatek</cp:lastModifiedBy>
  <cp:lastPrinted>2026-05-03T22:19:15Z</cp:lastPrinted>
  <dcterms:created xsi:type="dcterms:W3CDTF">2015-06-05T18:17:20Z</dcterms:created>
  <dcterms:modified xsi:type="dcterms:W3CDTF">2026-05-03T22:21:14Z</dcterms:modified>
</cp:coreProperties>
</file>